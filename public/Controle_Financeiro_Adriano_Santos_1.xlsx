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adrianodasilvasantos/Downloads/"/>
    </mc:Choice>
  </mc:AlternateContent>
  <xr:revisionPtr revIDLastSave="0" documentId="13_ncr:1_{035A217C-988F-C949-981A-16E093364B98}" xr6:coauthVersionLast="47" xr6:coauthVersionMax="47" xr10:uidLastSave="{00000000-0000-0000-0000-000000000000}"/>
  <bookViews>
    <workbookView xWindow="0" yWindow="660" windowWidth="29400" windowHeight="17480" activeTab="1" xr2:uid="{00000000-000D-0000-FFFF-FFFF00000000}"/>
  </bookViews>
  <sheets>
    <sheet name="📖 Como usar" sheetId="1" r:id="rId1"/>
    <sheet name="📊 Painel" sheetId="2" r:id="rId2"/>
    <sheet name="📥 Receitas" sheetId="3" r:id="rId3"/>
    <sheet name="📤 Despesas" sheetId="4" r:id="rId4"/>
    <sheet name="🔴 Dívidas" sheetId="5" r:id="rId5"/>
    <sheet name="🌟 Metas e Sonho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2" l="1"/>
  <c r="E19" i="2" s="1"/>
  <c r="G19" i="2" s="1"/>
  <c r="D17" i="2"/>
  <c r="F17" i="2" s="1"/>
  <c r="D16" i="2"/>
  <c r="D15" i="2"/>
  <c r="D14" i="2"/>
  <c r="D13" i="2"/>
  <c r="D12" i="2"/>
  <c r="D11" i="2"/>
  <c r="F11" i="2" s="1"/>
  <c r="C54" i="4"/>
  <c r="C50" i="4"/>
  <c r="D7" i="2" s="1"/>
  <c r="G12" i="6"/>
  <c r="E12" i="6"/>
  <c r="G11" i="6"/>
  <c r="E11" i="6"/>
  <c r="G10" i="6"/>
  <c r="E10" i="6"/>
  <c r="E9" i="6"/>
  <c r="G9" i="6" s="1"/>
  <c r="G8" i="6"/>
  <c r="E8" i="6"/>
  <c r="E7" i="6"/>
  <c r="G7" i="6" s="1"/>
  <c r="E6" i="6"/>
  <c r="G6" i="6" s="1"/>
  <c r="E5" i="6"/>
  <c r="G5" i="6" s="1"/>
  <c r="C14" i="5"/>
  <c r="C30" i="3"/>
  <c r="B7" i="2" s="1"/>
  <c r="D24" i="2"/>
  <c r="D26" i="2" s="1"/>
  <c r="C20" i="2"/>
  <c r="D18" i="2"/>
  <c r="F18" i="2" s="1"/>
  <c r="F16" i="2"/>
  <c r="F15" i="2"/>
  <c r="E14" i="2"/>
  <c r="G14" i="2" s="1"/>
  <c r="F13" i="2"/>
  <c r="D20" i="2" l="1"/>
  <c r="F7" i="2"/>
  <c r="F14" i="2"/>
  <c r="F19" i="2"/>
  <c r="E12" i="2"/>
  <c r="G12" i="2" s="1"/>
  <c r="E17" i="2"/>
  <c r="G17" i="2" s="1"/>
  <c r="F12" i="2"/>
  <c r="E15" i="2"/>
  <c r="G15" i="2" s="1"/>
  <c r="E13" i="2"/>
  <c r="G13" i="2" s="1"/>
  <c r="E18" i="2"/>
  <c r="G18" i="2" s="1"/>
  <c r="D25" i="2"/>
  <c r="E11" i="2"/>
  <c r="E16" i="2"/>
  <c r="G16" i="2" s="1"/>
  <c r="E20" i="2" l="1"/>
  <c r="G11" i="2"/>
</calcChain>
</file>

<file path=xl/sharedStrings.xml><?xml version="1.0" encoding="utf-8"?>
<sst xmlns="http://schemas.openxmlformats.org/spreadsheetml/2006/main" count="174" uniqueCount="149">
  <si>
    <t>📖  COMO USAR ESTA PLANILHA</t>
  </si>
  <si>
    <t xml:space="preserve">  PASSO 1 — ABA 📥 RECEITAS</t>
  </si>
  <si>
    <t xml:space="preserve">  PASSO 2 — ABA 📤 DESPESAS</t>
  </si>
  <si>
    <t xml:space="preserve">  PASSO 3 — ABA 🔴 DÍVIDAS</t>
  </si>
  <si>
    <t xml:space="preserve">  PASSO 4 — ABA 🌟 METAS</t>
  </si>
  <si>
    <t xml:space="preserve">  PASSO 5 — ABA 📊 PAINEL</t>
  </si>
  <si>
    <t xml:space="preserve">     → Acompanhe o resumo automático. O painel calcula tudo para você.</t>
  </si>
  <si>
    <t xml:space="preserve">  💡 DICA DO ADRIANO:</t>
  </si>
  <si>
    <t xml:space="preserve">     → Use a Regra 50-30-20: 50% para necessidades, 30% para desejos e 20% para poupança/investimentos.</t>
  </si>
  <si>
    <t xml:space="preserve">  ⚠️ IMPORTANTE:</t>
  </si>
  <si>
    <t xml:space="preserve">     → Textos em AZUL = campos que você deve preencher. Textos em PRETO = fórmulas automáticas, não edite.</t>
  </si>
  <si>
    <t xml:space="preserve">  📲 SIGA NO INSTAGRAM:</t>
  </si>
  <si>
    <t xml:space="preserve">     → @adrianosantos_pf — Educação financeira prática para o brasileiro</t>
  </si>
  <si>
    <t xml:space="preserve">  🎯 RESULTADO ESPERADO:</t>
  </si>
  <si>
    <t xml:space="preserve">     → Com 3 meses de uso consistente, você terá clareza total das suas finanças e uma meta de investimento realista.</t>
  </si>
  <si>
    <t>💰  CONTROLE FINANCEIRO PESSOAL</t>
  </si>
  <si>
    <t>por Adriano Santos | Planejador Financeiro  @adrianosantos_pf</t>
  </si>
  <si>
    <t>Mês de referência:</t>
  </si>
  <si>
    <t>June 2026</t>
  </si>
  <si>
    <t>💚  Total Receitas</t>
  </si>
  <si>
    <t>🔴  Total Despesas</t>
  </si>
  <si>
    <t>⭐  Saldo do Mês</t>
  </si>
  <si>
    <t>📋  RESUMO POR CATEGORIA</t>
  </si>
  <si>
    <t>Categoria</t>
  </si>
  <si>
    <t>Orçado (R$)</t>
  </si>
  <si>
    <t>Gasto (R$)</t>
  </si>
  <si>
    <t>Saldo (R$)</t>
  </si>
  <si>
    <t>% do Total</t>
  </si>
  <si>
    <t>Status</t>
  </si>
  <si>
    <t>🏠 Moradia</t>
  </si>
  <si>
    <t>🍽️ Alimentação</t>
  </si>
  <si>
    <t>🚗 Transporte</t>
  </si>
  <si>
    <t>💊 Saúde</t>
  </si>
  <si>
    <t>📚 Educação</t>
  </si>
  <si>
    <t>🎭 Lazer</t>
  </si>
  <si>
    <t>💳 Dívidas</t>
  </si>
  <si>
    <t>💰 Investimentos</t>
  </si>
  <si>
    <t>📦 Outros</t>
  </si>
  <si>
    <t>TOTAL</t>
  </si>
  <si>
    <t>100%</t>
  </si>
  <si>
    <t>🎯  META DE POUPANÇA E INVESTIMENTO</t>
  </si>
  <si>
    <t>Meta mensal de poupança (R$):</t>
  </si>
  <si>
    <t>Já poupado este mês (R$):</t>
  </si>
  <si>
    <t>Falta poupar (R$):</t>
  </si>
  <si>
    <t>% da meta atingida:</t>
  </si>
  <si>
    <t>💡  REGRA 50-30-20: 50% necessidades | 30% desejos | 20% poupança/investimentos</t>
  </si>
  <si>
    <t>📥  REGISTRO DE RECEITAS</t>
  </si>
  <si>
    <t>Registre todas as entradas de dinheiro — salário, freelas, aluguéis, etc.</t>
  </si>
  <si>
    <t>Descrição da Receita</t>
  </si>
  <si>
    <t>Valor (R$)</t>
  </si>
  <si>
    <t>Data</t>
  </si>
  <si>
    <t>Observação</t>
  </si>
  <si>
    <t>Salário principal</t>
  </si>
  <si>
    <t>01/06/2025</t>
  </si>
  <si>
    <t>Empresa X</t>
  </si>
  <si>
    <t>Freela / Renda extra</t>
  </si>
  <si>
    <t>10/06/2025</t>
  </si>
  <si>
    <t>Projeto Y</t>
  </si>
  <si>
    <t>Aluguel recebido</t>
  </si>
  <si>
    <t>Dividendos / Investimentos</t>
  </si>
  <si>
    <t>Comissões / Bonificações</t>
  </si>
  <si>
    <t>Outros rendimentos</t>
  </si>
  <si>
    <t>TOTAL RECEITAS</t>
  </si>
  <si>
    <t>💰 Reserva / Investimento</t>
  </si>
  <si>
    <t>← digite quanto investiu/poupou este mês</t>
  </si>
  <si>
    <t>📤  REGISTRO DE DESPESAS</t>
  </si>
  <si>
    <t>Anote cada gasto — pequenos gastos ignorados destroem o orçamento!</t>
  </si>
  <si>
    <t>🏠 MORADIA</t>
  </si>
  <si>
    <t>Aluguel / Prestação</t>
  </si>
  <si>
    <t>Condomínio</t>
  </si>
  <si>
    <t>Água/Luz/Gás</t>
  </si>
  <si>
    <t>Internet/Telefone</t>
  </si>
  <si>
    <t>IPTU/Seguros</t>
  </si>
  <si>
    <t>🍽️ ALIMENTAÇÃO</t>
  </si>
  <si>
    <t>Supermercado</t>
  </si>
  <si>
    <t>Feira/Hortifruti</t>
  </si>
  <si>
    <t>Restaurantes/iFood</t>
  </si>
  <si>
    <t>Padaria / Lanches</t>
  </si>
  <si>
    <t>Outros alimentos</t>
  </si>
  <si>
    <t>🚗 TRANSPORTE</t>
  </si>
  <si>
    <t>Combustível</t>
  </si>
  <si>
    <t>Uber/Táxi/Transporte</t>
  </si>
  <si>
    <t>Prestação carro/moto</t>
  </si>
  <si>
    <t>IPVA/Seguro auto</t>
  </si>
  <si>
    <t>Manutenção</t>
  </si>
  <si>
    <t>💊 SAÚDE</t>
  </si>
  <si>
    <t>Plano de saúde</t>
  </si>
  <si>
    <t>Medicamentos</t>
  </si>
  <si>
    <t>Consultas/Exames</t>
  </si>
  <si>
    <t>Academia/Esportes</t>
  </si>
  <si>
    <t>Outros saúde</t>
  </si>
  <si>
    <t>📚 EDUCAÇÃO</t>
  </si>
  <si>
    <t>Cursos e treinamentos</t>
  </si>
  <si>
    <t>Livros / Materiais</t>
  </si>
  <si>
    <t>Escola filhos</t>
  </si>
  <si>
    <t>Plataformas online</t>
  </si>
  <si>
    <t>Outros educação</t>
  </si>
  <si>
    <t>🎭 LAZER</t>
  </si>
  <si>
    <t>Streaming (Netflix etc.)</t>
  </si>
  <si>
    <t>Saídas/Passeios</t>
  </si>
  <si>
    <t>Assinaturas diversas</t>
  </si>
  <si>
    <t>Presentes</t>
  </si>
  <si>
    <t>Outros lazer</t>
  </si>
  <si>
    <t>💳 DÍVIDAS</t>
  </si>
  <si>
    <t>Cartão de crédito</t>
  </si>
  <si>
    <t>Empréstimo pessoal</t>
  </si>
  <si>
    <t>Cheque especial</t>
  </si>
  <si>
    <t>Financiamento</t>
  </si>
  <si>
    <t>Outras dívidas</t>
  </si>
  <si>
    <t>📦 OUTROS</t>
  </si>
  <si>
    <t>Vestuário/Calçados</t>
  </si>
  <si>
    <t>TOTAL DESPESAS</t>
  </si>
  <si>
    <t>Serviços (cabelo etc.)</t>
  </si>
  <si>
    <t>Imprevistos</t>
  </si>
  <si>
    <t>Outros</t>
  </si>
  <si>
    <t>Subtotal</t>
  </si>
  <si>
    <t>🔴  MAPA DE DÍVIDAS — Saia do vermelho com método!</t>
  </si>
  <si>
    <t>Liste todas as dívidas. Use o Método Bola de Neve: quite a menor primeiro e use a parcela liberada na próxima.</t>
  </si>
  <si>
    <t>Credor / Dívida</t>
  </si>
  <si>
    <t>Saldo Total (R$)</t>
  </si>
  <si>
    <t>Parcela (R$)</t>
  </si>
  <si>
    <t>Juros % a.m.</t>
  </si>
  <si>
    <t>Parcelas Rest.</t>
  </si>
  <si>
    <t>Vencimento</t>
  </si>
  <si>
    <t>Prioridade</t>
  </si>
  <si>
    <t>Cartão de crédito X</t>
  </si>
  <si>
    <t>10/mês</t>
  </si>
  <si>
    <t>1ª - Urgente</t>
  </si>
  <si>
    <t>15/mês</t>
  </si>
  <si>
    <t>2ª</t>
  </si>
  <si>
    <t>Financiamento carro</t>
  </si>
  <si>
    <t>20/mês</t>
  </si>
  <si>
    <t>3ª</t>
  </si>
  <si>
    <t>TOTAL EM DÍVIDAS</t>
  </si>
  <si>
    <t>📌  MÉTODO BOLA DE NEVE: Quite a menor dívida primeiro → use a parcela liberada para atacar a próxima</t>
  </si>
  <si>
    <t>🔥  MÉTODO AVALANCHE: Quite a de maior juros primeiro → paga menos juros no total</t>
  </si>
  <si>
    <t>🌟  METAS FINANCEIRAS E SONHOS</t>
  </si>
  <si>
    <t>Sonhos sem data são só desejos. Coloque valor e prazo em cada meta!</t>
  </si>
  <si>
    <t>Sonho / Meta</t>
  </si>
  <si>
    <t>Valor Total (R$)</t>
  </si>
  <si>
    <t>Já poupei (R$)</t>
  </si>
  <si>
    <t>Falta (R$)</t>
  </si>
  <si>
    <t>Prazo (meses)</t>
  </si>
  <si>
    <t>Poupar/mês (R$)</t>
  </si>
  <si>
    <t>🚗 Carro novo / quitação</t>
  </si>
  <si>
    <t>🏠 Entrada do imóvel</t>
  </si>
  <si>
    <t>📚 Curso / Pós-graduação</t>
  </si>
  <si>
    <t>✈️ Viagem dos sonhos</t>
  </si>
  <si>
    <t>💼 Reserva de emergência (6x salário)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</si>
</sst>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R\$\ #,##0.00"/>
    <numFmt numFmtId="165" formatCode="\R\$\ #,##0.00;\(\R\$\ #,##0.00\);&quot;-&quot;"/>
    <numFmt numFmtId="166" formatCode="0.0%"/>
  </numFmts>
  <fonts count="27" x14ac:knownFonts="1">
    <font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i/>
      <sz val="10"/>
      <color rgb="FFFFFFFF"/>
      <name val="Arial"/>
      <family val="2"/>
    </font>
    <font>
      <b/>
      <sz val="10"/>
      <color rgb="FF2C2C2C"/>
      <name val="Arial"/>
      <family val="2"/>
    </font>
    <font>
      <b/>
      <sz val="11"/>
      <color rgb="FF1A5C38"/>
      <name val="Arial"/>
      <family val="2"/>
    </font>
    <font>
      <b/>
      <sz val="10"/>
      <color rgb="FFFFFFFF"/>
      <name val="Arial"/>
      <family val="2"/>
    </font>
    <font>
      <b/>
      <sz val="18"/>
      <color rgb="FF1A5C38"/>
      <name val="Arial"/>
      <family val="2"/>
    </font>
    <font>
      <b/>
      <sz val="18"/>
      <color rgb="FFC0392B"/>
      <name val="Arial"/>
      <family val="2"/>
    </font>
    <font>
      <b/>
      <sz val="18"/>
      <color rgb="FFC8960C"/>
      <name val="Arial"/>
      <family val="2"/>
    </font>
    <font>
      <b/>
      <sz val="11"/>
      <color rgb="FFFFFFFF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b/>
      <sz val="11"/>
      <color rgb="FF1A3A6B"/>
      <name val="Arial"/>
      <family val="2"/>
    </font>
    <font>
      <i/>
      <sz val="10"/>
      <color rgb="FFC8960C"/>
      <name val="Arial"/>
      <family val="2"/>
    </font>
    <font>
      <b/>
      <sz val="14"/>
      <color rgb="FFFFFFFF"/>
      <name val="Arial"/>
      <family val="2"/>
    </font>
    <font>
      <i/>
      <sz val="10"/>
      <color rgb="FF1A5C38"/>
      <name val="Arial"/>
      <family val="2"/>
    </font>
    <font>
      <b/>
      <sz val="12"/>
      <color rgb="FFFFFFFF"/>
      <name val="Arial"/>
      <family val="2"/>
    </font>
    <font>
      <b/>
      <sz val="10"/>
      <color rgb="FF1A3A6B"/>
      <name val="Arial"/>
      <family val="2"/>
    </font>
    <font>
      <i/>
      <sz val="9"/>
      <color rgb="FF555555"/>
      <name val="Arial"/>
      <family val="2"/>
    </font>
    <font>
      <i/>
      <sz val="10"/>
      <color rgb="FFC0392B"/>
      <name val="Arial"/>
      <family val="2"/>
    </font>
    <font>
      <b/>
      <sz val="9"/>
      <color rgb="FFFFFFFF"/>
      <name val="Arial"/>
      <family val="2"/>
    </font>
    <font>
      <b/>
      <sz val="10"/>
      <color rgb="FFC0392B"/>
      <name val="Arial"/>
      <family val="2"/>
    </font>
    <font>
      <b/>
      <sz val="13"/>
      <color rgb="FFFFFFFF"/>
      <name val="Arial"/>
      <family val="2"/>
    </font>
    <font>
      <b/>
      <sz val="10"/>
      <color rgb="FFC8960C"/>
      <name val="Arial"/>
      <family val="2"/>
    </font>
    <font>
      <b/>
      <sz val="10"/>
      <color rgb="FF1A5C38"/>
      <name val="Arial"/>
      <family val="2"/>
    </font>
    <font>
      <sz val="10"/>
      <color rgb="FF2C2C2C"/>
      <name val="Arial"/>
      <family val="2"/>
    </font>
    <font>
      <b/>
      <sz val="11"/>
      <color rgb="FFC8960C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1A5C38"/>
      </patternFill>
    </fill>
    <fill>
      <patternFill patternType="solid">
        <fgColor rgb="FF2E8B57"/>
      </patternFill>
    </fill>
    <fill>
      <patternFill patternType="solid">
        <fgColor rgb="FFD6F0E0"/>
      </patternFill>
    </fill>
    <fill>
      <patternFill patternType="solid">
        <fgColor rgb="FFC0392B"/>
      </patternFill>
    </fill>
    <fill>
      <patternFill patternType="solid">
        <fgColor rgb="FFC8960C"/>
      </patternFill>
    </fill>
    <fill>
      <patternFill patternType="solid">
        <fgColor rgb="FFFADBD8"/>
      </patternFill>
    </fill>
    <fill>
      <patternFill patternType="solid">
        <fgColor rgb="FFFFF3CC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D6E4F7"/>
      </patternFill>
    </fill>
    <fill>
      <patternFill patternType="solid">
        <fgColor rgb="FF2C2C2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4" fillId="4" borderId="1" xfId="0" applyFont="1" applyFill="1" applyBorder="1" applyAlignment="1">
      <alignment horizontal="left" vertical="center" wrapText="1"/>
    </xf>
    <xf numFmtId="0" fontId="25" fillId="0" borderId="0" xfId="0" applyFont="1" applyAlignment="1">
      <alignment horizontal="left" vertical="center" wrapText="1"/>
    </xf>
    <xf numFmtId="0" fontId="26" fillId="8" borderId="1" xfId="0" applyFont="1" applyFill="1" applyBorder="1" applyAlignment="1">
      <alignment horizontal="left" vertical="center" wrapText="1"/>
    </xf>
    <xf numFmtId="0" fontId="12" fillId="12" borderId="1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left" vertical="center" wrapText="1"/>
    </xf>
    <xf numFmtId="164" fontId="11" fillId="9" borderId="1" xfId="0" applyNumberFormat="1" applyFont="1" applyFill="1" applyBorder="1" applyAlignment="1">
      <alignment horizontal="right" vertical="center"/>
    </xf>
    <xf numFmtId="164" fontId="10" fillId="9" borderId="1" xfId="0" applyNumberFormat="1" applyFont="1" applyFill="1" applyBorder="1" applyAlignment="1">
      <alignment horizontal="right" vertical="center"/>
    </xf>
    <xf numFmtId="165" fontId="10" fillId="9" borderId="1" xfId="0" applyNumberFormat="1" applyFont="1" applyFill="1" applyBorder="1" applyAlignment="1">
      <alignment horizontal="right" vertical="center"/>
    </xf>
    <xf numFmtId="166" fontId="10" fillId="9" borderId="1" xfId="0" applyNumberFormat="1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left" vertical="center" wrapText="1"/>
    </xf>
    <xf numFmtId="164" fontId="11" fillId="10" borderId="1" xfId="0" applyNumberFormat="1" applyFont="1" applyFill="1" applyBorder="1" applyAlignment="1">
      <alignment horizontal="right" vertical="center"/>
    </xf>
    <xf numFmtId="164" fontId="10" fillId="10" borderId="1" xfId="0" applyNumberFormat="1" applyFont="1" applyFill="1" applyBorder="1" applyAlignment="1">
      <alignment horizontal="right" vertical="center"/>
    </xf>
    <xf numFmtId="165" fontId="10" fillId="10" borderId="1" xfId="0" applyNumberFormat="1" applyFont="1" applyFill="1" applyBorder="1" applyAlignment="1">
      <alignment horizontal="right" vertical="center"/>
    </xf>
    <xf numFmtId="166" fontId="10" fillId="10" borderId="1" xfId="0" applyNumberFormat="1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 wrapText="1"/>
    </xf>
    <xf numFmtId="164" fontId="12" fillId="12" borderId="1" xfId="0" applyNumberFormat="1" applyFont="1" applyFill="1" applyBorder="1" applyAlignment="1">
      <alignment horizontal="right" vertical="center"/>
    </xf>
    <xf numFmtId="166" fontId="12" fillId="12" borderId="1" xfId="0" applyNumberFormat="1" applyFont="1" applyFill="1" applyBorder="1" applyAlignment="1">
      <alignment horizontal="right" vertical="center"/>
    </xf>
    <xf numFmtId="0" fontId="9" fillId="2" borderId="1" xfId="0" applyFont="1" applyFill="1" applyBorder="1" applyAlignment="1">
      <alignment horizontal="center" vertical="center" wrapText="1"/>
    </xf>
    <xf numFmtId="164" fontId="16" fillId="2" borderId="1" xfId="0" applyNumberFormat="1" applyFont="1" applyFill="1" applyBorder="1" applyAlignment="1">
      <alignment horizontal="right" vertical="center"/>
    </xf>
    <xf numFmtId="0" fontId="18" fillId="0" borderId="0" xfId="0" applyFont="1"/>
    <xf numFmtId="0" fontId="5" fillId="13" borderId="1" xfId="0" applyFont="1" applyFill="1" applyBorder="1" applyAlignment="1">
      <alignment horizontal="center" vertical="center" wrapText="1"/>
    </xf>
    <xf numFmtId="0" fontId="20" fillId="13" borderId="1" xfId="0" applyFont="1" applyFill="1" applyBorder="1" applyAlignment="1">
      <alignment horizontal="center" vertical="center" wrapText="1"/>
    </xf>
    <xf numFmtId="0" fontId="18" fillId="9" borderId="1" xfId="0" applyFont="1" applyFill="1" applyBorder="1" applyAlignment="1">
      <alignment horizontal="left" vertical="center" wrapText="1"/>
    </xf>
    <xf numFmtId="0" fontId="18" fillId="10" borderId="1" xfId="0" applyFont="1" applyFill="1" applyBorder="1" applyAlignment="1">
      <alignment horizontal="left" vertical="center" wrapText="1"/>
    </xf>
    <xf numFmtId="164" fontId="20" fillId="13" borderId="1" xfId="0" applyNumberFormat="1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164" fontId="16" fillId="5" borderId="1" xfId="0" applyNumberFormat="1" applyFont="1" applyFill="1" applyBorder="1" applyAlignment="1">
      <alignment horizontal="right" vertical="center"/>
    </xf>
    <xf numFmtId="0" fontId="21" fillId="7" borderId="1" xfId="0" applyFont="1" applyFill="1" applyBorder="1" applyAlignment="1">
      <alignment horizontal="center" vertical="center" wrapText="1"/>
    </xf>
    <xf numFmtId="164" fontId="21" fillId="7" borderId="1" xfId="0" applyNumberFormat="1" applyFont="1" applyFill="1" applyBorder="1" applyAlignment="1">
      <alignment horizontal="right" vertical="center"/>
    </xf>
    <xf numFmtId="10" fontId="10" fillId="9" borderId="1" xfId="0" applyNumberFormat="1" applyFont="1" applyFill="1" applyBorder="1" applyAlignment="1">
      <alignment horizontal="center" vertical="center" wrapText="1"/>
    </xf>
    <xf numFmtId="10" fontId="10" fillId="10" borderId="1" xfId="0" applyNumberFormat="1" applyFont="1" applyFill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164" fontId="24" fillId="9" borderId="1" xfId="0" applyNumberFormat="1" applyFont="1" applyFill="1" applyBorder="1" applyAlignment="1">
      <alignment horizontal="right" vertical="center"/>
    </xf>
    <xf numFmtId="0" fontId="11" fillId="10" borderId="1" xfId="0" applyFont="1" applyFill="1" applyBorder="1" applyAlignment="1">
      <alignment horizontal="center" vertical="center" wrapText="1"/>
    </xf>
    <xf numFmtId="164" fontId="24" fillId="10" borderId="1" xfId="0" applyNumberFormat="1" applyFont="1" applyFill="1" applyBorder="1" applyAlignment="1">
      <alignment horizontal="right" vertical="center"/>
    </xf>
    <xf numFmtId="0" fontId="14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0"/>
    <xf numFmtId="0" fontId="5" fillId="2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 wrapText="1"/>
    </xf>
    <xf numFmtId="164" fontId="7" fillId="7" borderId="1" xfId="0" applyNumberFormat="1" applyFont="1" applyFill="1" applyBorder="1" applyAlignment="1">
      <alignment horizontal="center" vertical="center" wrapText="1"/>
    </xf>
    <xf numFmtId="164" fontId="6" fillId="4" borderId="1" xfId="0" applyNumberFormat="1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164" fontId="8" fillId="8" borderId="1" xfId="0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horizontal="left" vertical="center" wrapText="1"/>
    </xf>
    <xf numFmtId="0" fontId="15" fillId="4" borderId="0" xfId="0" applyFont="1" applyFill="1" applyAlignment="1">
      <alignment horizontal="center" vertical="center" wrapText="1"/>
    </xf>
    <xf numFmtId="0" fontId="14" fillId="5" borderId="0" xfId="0" applyFont="1" applyFill="1" applyAlignment="1">
      <alignment horizontal="center" vertical="center" wrapText="1"/>
    </xf>
    <xf numFmtId="0" fontId="19" fillId="7" borderId="0" xfId="0" applyFont="1" applyFill="1" applyAlignment="1">
      <alignment horizontal="center" vertical="center" wrapText="1"/>
    </xf>
    <xf numFmtId="0" fontId="23" fillId="8" borderId="1" xfId="0" applyFont="1" applyFill="1" applyBorder="1" applyAlignment="1">
      <alignment horizontal="center" vertical="center" wrapText="1"/>
    </xf>
    <xf numFmtId="0" fontId="21" fillId="7" borderId="1" xfId="0" applyFont="1" applyFill="1" applyBorder="1" applyAlignment="1">
      <alignment horizontal="center" vertical="center" wrapText="1"/>
    </xf>
    <xf numFmtId="0" fontId="22" fillId="5" borderId="0" xfId="0" applyFont="1" applyFill="1" applyAlignment="1">
      <alignment horizontal="center" vertical="center" wrapText="1"/>
    </xf>
    <xf numFmtId="0" fontId="13" fillId="8" borderId="0" xfId="0" applyFont="1" applyFill="1" applyAlignment="1">
      <alignment horizontal="center" vertical="center" wrapText="1"/>
    </xf>
    <xf numFmtId="0" fontId="14" fillId="6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07F31E8-1DBD-D54F-90AC-52A909D12420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dabad6a6-4967-471d-b289-607c43f1dbb3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39"/>
  <sheetViews>
    <sheetView showGridLines="0" workbookViewId="0"/>
  </sheetViews>
  <sheetFormatPr baseColWidth="10" defaultColWidth="8.83203125" defaultRowHeight="15" x14ac:dyDescent="0.2"/>
  <cols>
    <col min="1" max="1" width="3" customWidth="1"/>
    <col min="2" max="2" width="70" customWidth="1"/>
    <col min="3" max="3" width="3" customWidth="1"/>
  </cols>
  <sheetData>
    <row r="1" spans="2:2" ht="40" customHeight="1" x14ac:dyDescent="0.2">
      <c r="B1" s="45" t="s">
        <v>0</v>
      </c>
    </row>
    <row r="2" spans="2:2" ht="24" customHeight="1" x14ac:dyDescent="0.2"/>
    <row r="3" spans="2:2" ht="24" customHeight="1" x14ac:dyDescent="0.2">
      <c r="B3" s="1" t="s">
        <v>1</v>
      </c>
    </row>
    <row r="4" spans="2:2" ht="24" customHeight="1" x14ac:dyDescent="0.2">
      <c r="B4" s="1" t="s">
        <v>2</v>
      </c>
    </row>
    <row r="5" spans="2:2" ht="24" customHeight="1" x14ac:dyDescent="0.2">
      <c r="B5" s="1" t="s">
        <v>3</v>
      </c>
    </row>
    <row r="6" spans="2:2" ht="24" customHeight="1" x14ac:dyDescent="0.2">
      <c r="B6" s="1" t="s">
        <v>4</v>
      </c>
    </row>
    <row r="7" spans="2:2" ht="24" customHeight="1" x14ac:dyDescent="0.2">
      <c r="B7" s="1" t="s">
        <v>5</v>
      </c>
    </row>
    <row r="8" spans="2:2" ht="24" customHeight="1" x14ac:dyDescent="0.2">
      <c r="B8" s="2" t="s">
        <v>6</v>
      </c>
    </row>
    <row r="9" spans="2:2" ht="24" customHeight="1" x14ac:dyDescent="0.2">
      <c r="B9" s="3" t="s">
        <v>7</v>
      </c>
    </row>
    <row r="10" spans="2:2" ht="24" customHeight="1" x14ac:dyDescent="0.2">
      <c r="B10" s="2" t="s">
        <v>8</v>
      </c>
    </row>
    <row r="11" spans="2:2" ht="24" customHeight="1" x14ac:dyDescent="0.2">
      <c r="B11" s="4" t="s">
        <v>9</v>
      </c>
    </row>
    <row r="12" spans="2:2" ht="24" customHeight="1" x14ac:dyDescent="0.2">
      <c r="B12" s="2" t="s">
        <v>10</v>
      </c>
    </row>
    <row r="13" spans="2:2" ht="24" customHeight="1" x14ac:dyDescent="0.2">
      <c r="B13" s="5" t="s">
        <v>11</v>
      </c>
    </row>
    <row r="14" spans="2:2" ht="24" customHeight="1" x14ac:dyDescent="0.2">
      <c r="B14" s="2" t="s">
        <v>12</v>
      </c>
    </row>
    <row r="15" spans="2:2" ht="24" customHeight="1" x14ac:dyDescent="0.2">
      <c r="B15" s="6" t="s">
        <v>13</v>
      </c>
    </row>
    <row r="16" spans="2:2" ht="24" customHeight="1" x14ac:dyDescent="0.2">
      <c r="B16" s="2" t="s">
        <v>14</v>
      </c>
    </row>
    <row r="17" ht="24" customHeight="1" x14ac:dyDescent="0.2"/>
    <row r="18" ht="24" customHeight="1" x14ac:dyDescent="0.2"/>
    <row r="19" ht="24" customHeight="1" x14ac:dyDescent="0.2"/>
    <row r="20" ht="24" customHeight="1" x14ac:dyDescent="0.2"/>
    <row r="21" ht="24" customHeight="1" x14ac:dyDescent="0.2"/>
    <row r="22" ht="24" customHeight="1" x14ac:dyDescent="0.2"/>
    <row r="23" ht="24" customHeight="1" x14ac:dyDescent="0.2"/>
    <row r="24" ht="24" customHeight="1" x14ac:dyDescent="0.2"/>
    <row r="25" ht="24" customHeight="1" x14ac:dyDescent="0.2"/>
    <row r="26" ht="24" customHeight="1" x14ac:dyDescent="0.2"/>
    <row r="27" ht="24" customHeight="1" x14ac:dyDescent="0.2"/>
    <row r="28" ht="24" customHeight="1" x14ac:dyDescent="0.2"/>
    <row r="29" ht="24" customHeight="1" x14ac:dyDescent="0.2"/>
    <row r="30" ht="24" customHeight="1" x14ac:dyDescent="0.2"/>
    <row r="31" ht="24" customHeight="1" x14ac:dyDescent="0.2"/>
    <row r="32" ht="24" customHeight="1" x14ac:dyDescent="0.2"/>
    <row r="33" ht="24" customHeight="1" x14ac:dyDescent="0.2"/>
    <row r="34" ht="24" customHeight="1" x14ac:dyDescent="0.2"/>
    <row r="35" ht="24" customHeight="1" x14ac:dyDescent="0.2"/>
    <row r="36" ht="24" customHeight="1" x14ac:dyDescent="0.2"/>
    <row r="37" ht="24" customHeight="1" x14ac:dyDescent="0.2"/>
    <row r="38" ht="24" customHeight="1" x14ac:dyDescent="0.2"/>
    <row r="39" ht="24" customHeight="1" x14ac:dyDescent="0.2"/>
  </sheetData>
  <mergeCells count="1">
    <mergeCell ref="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79"/>
  <sheetViews>
    <sheetView showGridLines="0" tabSelected="1" workbookViewId="0">
      <pane ySplit="7" topLeftCell="A8" activePane="bottomLeft" state="frozen"/>
      <selection pane="bottomLeft" activeCell="J5" sqref="J5"/>
    </sheetView>
  </sheetViews>
  <sheetFormatPr baseColWidth="10" defaultColWidth="8.83203125" defaultRowHeight="15" x14ac:dyDescent="0.2"/>
  <cols>
    <col min="1" max="1" width="3" customWidth="1"/>
    <col min="2" max="2" width="22" customWidth="1"/>
    <col min="3" max="7" width="16" customWidth="1"/>
    <col min="8" max="8" width="3" customWidth="1"/>
  </cols>
  <sheetData>
    <row r="1" spans="2:7" ht="40" customHeight="1" x14ac:dyDescent="0.2">
      <c r="B1" s="55" t="s">
        <v>15</v>
      </c>
      <c r="C1" s="47"/>
      <c r="D1" s="47"/>
      <c r="E1" s="47"/>
      <c r="F1" s="47"/>
      <c r="G1" s="47"/>
    </row>
    <row r="2" spans="2:7" ht="20" customHeight="1" x14ac:dyDescent="0.2">
      <c r="B2" s="46" t="s">
        <v>16</v>
      </c>
      <c r="C2" s="47"/>
      <c r="D2" s="47"/>
      <c r="E2" s="47"/>
      <c r="F2" s="47"/>
      <c r="G2" s="47"/>
    </row>
    <row r="3" spans="2:7" ht="8" customHeight="1" x14ac:dyDescent="0.2"/>
    <row r="4" spans="2:7" ht="22" customHeight="1" x14ac:dyDescent="0.2">
      <c r="B4" s="58" t="s">
        <v>17</v>
      </c>
      <c r="C4" s="47"/>
      <c r="D4" s="7" t="s">
        <v>18</v>
      </c>
    </row>
    <row r="5" spans="2:7" ht="8" customHeight="1" x14ac:dyDescent="0.2"/>
    <row r="6" spans="2:7" ht="18" customHeight="1" x14ac:dyDescent="0.2">
      <c r="B6" s="48" t="s">
        <v>19</v>
      </c>
      <c r="C6" s="47"/>
      <c r="D6" s="49" t="s">
        <v>20</v>
      </c>
      <c r="E6" s="47"/>
      <c r="F6" s="56" t="s">
        <v>21</v>
      </c>
      <c r="G6" s="47"/>
    </row>
    <row r="7" spans="2:7" ht="34" customHeight="1" x14ac:dyDescent="0.2">
      <c r="B7" s="52">
        <f>'📥 Receitas'!C30</f>
        <v>15800</v>
      </c>
      <c r="C7" s="47"/>
      <c r="D7" s="51">
        <f>'📤 Despesas'!C50</f>
        <v>2580</v>
      </c>
      <c r="E7" s="47"/>
      <c r="F7" s="59">
        <f>B7-D7</f>
        <v>13220</v>
      </c>
      <c r="G7" s="47"/>
    </row>
    <row r="8" spans="2:7" ht="10" customHeight="1" x14ac:dyDescent="0.2"/>
    <row r="9" spans="2:7" ht="22" customHeight="1" x14ac:dyDescent="0.2">
      <c r="B9" s="54" t="s">
        <v>22</v>
      </c>
      <c r="C9" s="47"/>
      <c r="D9" s="47"/>
      <c r="E9" s="47"/>
      <c r="F9" s="47"/>
      <c r="G9" s="47"/>
    </row>
    <row r="10" spans="2:7" ht="22" customHeight="1" x14ac:dyDescent="0.2">
      <c r="B10" s="9" t="s">
        <v>23</v>
      </c>
      <c r="C10" s="9" t="s">
        <v>24</v>
      </c>
      <c r="D10" s="9" t="s">
        <v>25</v>
      </c>
      <c r="E10" s="9" t="s">
        <v>26</v>
      </c>
      <c r="F10" s="9" t="s">
        <v>27</v>
      </c>
      <c r="G10" s="9" t="s">
        <v>28</v>
      </c>
    </row>
    <row r="11" spans="2:7" ht="22" customHeight="1" x14ac:dyDescent="0.2">
      <c r="B11" s="10" t="s">
        <v>29</v>
      </c>
      <c r="C11" s="11">
        <v>2500</v>
      </c>
      <c r="D11" s="12">
        <f>SUM('📤 Despesas'!C7:C11)</f>
        <v>1580</v>
      </c>
      <c r="E11" s="13">
        <f t="shared" ref="E11:E19" si="0">C11-D11</f>
        <v>920</v>
      </c>
      <c r="F11" s="14">
        <f>IF(D11=0,0,D11/'📤 Despesas'!C50)</f>
        <v>0.61240310077519378</v>
      </c>
      <c r="G11" s="15" t="str">
        <f t="shared" ref="G11:G19" si="1">IF(E11&gt;=0,"✅ OK","⚠️ Excedeu")</f>
        <v>✅ OK</v>
      </c>
    </row>
    <row r="12" spans="2:7" ht="22" customHeight="1" x14ac:dyDescent="0.2">
      <c r="B12" s="16" t="s">
        <v>30</v>
      </c>
      <c r="C12" s="17">
        <v>1200</v>
      </c>
      <c r="D12" s="18">
        <f>SUM('📤 Despesas'!C13:C17)</f>
        <v>0</v>
      </c>
      <c r="E12" s="19">
        <f t="shared" si="0"/>
        <v>1200</v>
      </c>
      <c r="F12" s="20">
        <f>IF(D12=0,0,D12/'📤 Despesas'!C50)</f>
        <v>0</v>
      </c>
      <c r="G12" s="21" t="str">
        <f t="shared" si="1"/>
        <v>✅ OK</v>
      </c>
    </row>
    <row r="13" spans="2:7" ht="22" customHeight="1" x14ac:dyDescent="0.2">
      <c r="B13" s="10" t="s">
        <v>31</v>
      </c>
      <c r="C13" s="11">
        <v>800</v>
      </c>
      <c r="D13" s="12">
        <f>SUM('📤 Despesas'!C19:C23)</f>
        <v>0</v>
      </c>
      <c r="E13" s="13">
        <f t="shared" si="0"/>
        <v>800</v>
      </c>
      <c r="F13" s="14">
        <f>IF(D13=0,0,D13/'📤 Despesas'!C50)</f>
        <v>0</v>
      </c>
      <c r="G13" s="15" t="str">
        <f t="shared" si="1"/>
        <v>✅ OK</v>
      </c>
    </row>
    <row r="14" spans="2:7" ht="22" customHeight="1" x14ac:dyDescent="0.2">
      <c r="B14" s="16" t="s">
        <v>32</v>
      </c>
      <c r="C14" s="17">
        <v>500</v>
      </c>
      <c r="D14" s="18">
        <f>SUM('📤 Despesas'!C25:C29)</f>
        <v>0</v>
      </c>
      <c r="E14" s="19">
        <f t="shared" si="0"/>
        <v>500</v>
      </c>
      <c r="F14" s="20">
        <f>IF(D14=0,0,D14/'📤 Despesas'!C50)</f>
        <v>0</v>
      </c>
      <c r="G14" s="21" t="str">
        <f t="shared" si="1"/>
        <v>✅ OK</v>
      </c>
    </row>
    <row r="15" spans="2:7" ht="22" customHeight="1" x14ac:dyDescent="0.2">
      <c r="B15" s="10" t="s">
        <v>33</v>
      </c>
      <c r="C15" s="11">
        <v>400</v>
      </c>
      <c r="D15" s="12">
        <f>SUM('📤 Despesas'!C31:C35)</f>
        <v>0</v>
      </c>
      <c r="E15" s="13">
        <f t="shared" si="0"/>
        <v>400</v>
      </c>
      <c r="F15" s="14">
        <f>IF(D15=0,0,D15/'📤 Despesas'!C50)</f>
        <v>0</v>
      </c>
      <c r="G15" s="15" t="str">
        <f t="shared" si="1"/>
        <v>✅ OK</v>
      </c>
    </row>
    <row r="16" spans="2:7" ht="22" customHeight="1" x14ac:dyDescent="0.2">
      <c r="B16" s="16" t="s">
        <v>34</v>
      </c>
      <c r="C16" s="17">
        <v>300</v>
      </c>
      <c r="D16" s="18">
        <f>SUM('📤 Despesas'!C37:C41)</f>
        <v>0</v>
      </c>
      <c r="E16" s="19">
        <f t="shared" si="0"/>
        <v>300</v>
      </c>
      <c r="F16" s="20">
        <f>IF(D16=0,0,D16/'📤 Despesas'!C50)</f>
        <v>0</v>
      </c>
      <c r="G16" s="21" t="str">
        <f t="shared" si="1"/>
        <v>✅ OK</v>
      </c>
    </row>
    <row r="17" spans="2:7" ht="22" customHeight="1" x14ac:dyDescent="0.2">
      <c r="B17" s="10" t="s">
        <v>35</v>
      </c>
      <c r="C17" s="11">
        <v>600</v>
      </c>
      <c r="D17" s="12">
        <f>SUM('📤 Despesas'!C43:C47)</f>
        <v>1000</v>
      </c>
      <c r="E17" s="13">
        <f t="shared" si="0"/>
        <v>-400</v>
      </c>
      <c r="F17" s="14">
        <f>IF(D17=0,0,D17/'📤 Despesas'!C50)</f>
        <v>0.38759689922480622</v>
      </c>
      <c r="G17" s="15" t="str">
        <f t="shared" si="1"/>
        <v>⚠️ Excedeu</v>
      </c>
    </row>
    <row r="18" spans="2:7" ht="22" customHeight="1" x14ac:dyDescent="0.2">
      <c r="B18" s="16" t="s">
        <v>36</v>
      </c>
      <c r="C18" s="17">
        <v>500</v>
      </c>
      <c r="D18" s="18">
        <f>'📥 Receitas'!C35</f>
        <v>0</v>
      </c>
      <c r="E18" s="19">
        <f t="shared" si="0"/>
        <v>500</v>
      </c>
      <c r="F18" s="20">
        <f>IF(D18=0,0,D18/'📤 Despesas'!C50)</f>
        <v>0</v>
      </c>
      <c r="G18" s="21" t="str">
        <f t="shared" si="1"/>
        <v>✅ OK</v>
      </c>
    </row>
    <row r="19" spans="2:7" ht="22" customHeight="1" x14ac:dyDescent="0.2">
      <c r="B19" s="10" t="s">
        <v>37</v>
      </c>
      <c r="C19" s="11">
        <v>200</v>
      </c>
      <c r="D19" s="12">
        <f>SUM('📤 Despesas'!C49,'📤 Despesas'!C51:C53)</f>
        <v>0</v>
      </c>
      <c r="E19" s="13">
        <f t="shared" si="0"/>
        <v>200</v>
      </c>
      <c r="F19" s="14">
        <f>IF(D19=0,0,D19/'📤 Despesas'!C50)</f>
        <v>0</v>
      </c>
      <c r="G19" s="15" t="str">
        <f t="shared" si="1"/>
        <v>✅ OK</v>
      </c>
    </row>
    <row r="20" spans="2:7" ht="24" customHeight="1" x14ac:dyDescent="0.2">
      <c r="B20" s="57" t="s">
        <v>38</v>
      </c>
      <c r="C20" s="22">
        <f>SUM(C11:C19)</f>
        <v>7000</v>
      </c>
      <c r="D20" s="22">
        <f>SUM(D11:D19)</f>
        <v>2580</v>
      </c>
      <c r="E20" s="22">
        <f>SUM(E11:E19)</f>
        <v>4420</v>
      </c>
      <c r="F20" s="8" t="s">
        <v>39</v>
      </c>
    </row>
    <row r="21" spans="2:7" ht="10" customHeight="1" x14ac:dyDescent="0.2"/>
    <row r="22" spans="2:7" ht="22" customHeight="1" x14ac:dyDescent="0.2">
      <c r="B22" s="53" t="s">
        <v>40</v>
      </c>
      <c r="C22" s="47"/>
      <c r="D22" s="47"/>
      <c r="E22" s="47"/>
      <c r="F22" s="47"/>
      <c r="G22" s="47"/>
    </row>
    <row r="23" spans="2:7" ht="22" customHeight="1" x14ac:dyDescent="0.2">
      <c r="C23" s="23" t="s">
        <v>41</v>
      </c>
      <c r="D23" s="24">
        <v>1000</v>
      </c>
    </row>
    <row r="24" spans="2:7" ht="22" customHeight="1" x14ac:dyDescent="0.2">
      <c r="C24" s="23" t="s">
        <v>42</v>
      </c>
      <c r="D24" s="24">
        <f>'📥 Receitas'!C35</f>
        <v>0</v>
      </c>
    </row>
    <row r="25" spans="2:7" ht="22" customHeight="1" x14ac:dyDescent="0.2">
      <c r="C25" s="23" t="s">
        <v>43</v>
      </c>
      <c r="D25" s="24">
        <f>D23-D24</f>
        <v>1000</v>
      </c>
    </row>
    <row r="26" spans="2:7" ht="22" customHeight="1" x14ac:dyDescent="0.2">
      <c r="C26" s="23" t="s">
        <v>44</v>
      </c>
      <c r="D26" s="25">
        <f>IF(D23=0,0,D24/D23)</f>
        <v>0</v>
      </c>
    </row>
    <row r="27" spans="2:7" ht="10" customHeight="1" x14ac:dyDescent="0.2"/>
    <row r="28" spans="2:7" ht="22" customHeight="1" x14ac:dyDescent="0.2">
      <c r="B28" s="50" t="s">
        <v>45</v>
      </c>
      <c r="C28" s="47"/>
      <c r="D28" s="47"/>
      <c r="E28" s="47"/>
      <c r="F28" s="47"/>
      <c r="G28" s="47"/>
    </row>
    <row r="29" spans="2:7" ht="22" customHeight="1" x14ac:dyDescent="0.2"/>
    <row r="30" spans="2:7" ht="22" customHeight="1" x14ac:dyDescent="0.2"/>
    <row r="31" spans="2:7" ht="22" customHeight="1" x14ac:dyDescent="0.2"/>
    <row r="32" spans="2:7" ht="22" customHeight="1" x14ac:dyDescent="0.2"/>
    <row r="33" ht="22" customHeight="1" x14ac:dyDescent="0.2"/>
    <row r="34" ht="22" customHeight="1" x14ac:dyDescent="0.2"/>
    <row r="35" ht="22" customHeight="1" x14ac:dyDescent="0.2"/>
    <row r="36" ht="22" customHeight="1" x14ac:dyDescent="0.2"/>
    <row r="37" ht="22" customHeight="1" x14ac:dyDescent="0.2"/>
    <row r="38" ht="22" customHeight="1" x14ac:dyDescent="0.2"/>
    <row r="39" ht="22" customHeight="1" x14ac:dyDescent="0.2"/>
    <row r="40" ht="22" customHeight="1" x14ac:dyDescent="0.2"/>
    <row r="41" ht="22" customHeight="1" x14ac:dyDescent="0.2"/>
    <row r="42" ht="22" customHeight="1" x14ac:dyDescent="0.2"/>
    <row r="43" ht="22" customHeight="1" x14ac:dyDescent="0.2"/>
    <row r="44" ht="22" customHeight="1" x14ac:dyDescent="0.2"/>
    <row r="45" ht="22" customHeight="1" x14ac:dyDescent="0.2"/>
    <row r="46" ht="22" customHeight="1" x14ac:dyDescent="0.2"/>
    <row r="47" ht="22" customHeight="1" x14ac:dyDescent="0.2"/>
    <row r="48" ht="22" customHeight="1" x14ac:dyDescent="0.2"/>
    <row r="49" ht="22" customHeight="1" x14ac:dyDescent="0.2"/>
    <row r="50" ht="22" customHeight="1" x14ac:dyDescent="0.2"/>
    <row r="51" ht="22" customHeight="1" x14ac:dyDescent="0.2"/>
    <row r="52" ht="22" customHeight="1" x14ac:dyDescent="0.2"/>
    <row r="53" ht="22" customHeight="1" x14ac:dyDescent="0.2"/>
    <row r="54" ht="22" customHeight="1" x14ac:dyDescent="0.2"/>
    <row r="55" ht="22" customHeight="1" x14ac:dyDescent="0.2"/>
    <row r="56" ht="22" customHeight="1" x14ac:dyDescent="0.2"/>
    <row r="57" ht="22" customHeight="1" x14ac:dyDescent="0.2"/>
    <row r="58" ht="22" customHeight="1" x14ac:dyDescent="0.2"/>
    <row r="59" ht="22" customHeight="1" x14ac:dyDescent="0.2"/>
    <row r="60" ht="22" customHeight="1" x14ac:dyDescent="0.2"/>
    <row r="61" ht="22" customHeight="1" x14ac:dyDescent="0.2"/>
    <row r="62" ht="22" customHeight="1" x14ac:dyDescent="0.2"/>
    <row r="63" ht="22" customHeight="1" x14ac:dyDescent="0.2"/>
    <row r="64" ht="22" customHeight="1" x14ac:dyDescent="0.2"/>
    <row r="65" ht="22" customHeight="1" x14ac:dyDescent="0.2"/>
    <row r="66" ht="22" customHeight="1" x14ac:dyDescent="0.2"/>
    <row r="67" ht="22" customHeight="1" x14ac:dyDescent="0.2"/>
    <row r="68" ht="22" customHeight="1" x14ac:dyDescent="0.2"/>
    <row r="69" ht="22" customHeight="1" x14ac:dyDescent="0.2"/>
    <row r="70" ht="22" customHeight="1" x14ac:dyDescent="0.2"/>
    <row r="71" ht="22" customHeight="1" x14ac:dyDescent="0.2"/>
    <row r="72" ht="22" customHeight="1" x14ac:dyDescent="0.2"/>
    <row r="73" ht="22" customHeight="1" x14ac:dyDescent="0.2"/>
    <row r="74" ht="22" customHeight="1" x14ac:dyDescent="0.2"/>
    <row r="75" ht="22" customHeight="1" x14ac:dyDescent="0.2"/>
    <row r="76" ht="22" customHeight="1" x14ac:dyDescent="0.2"/>
    <row r="77" ht="22" customHeight="1" x14ac:dyDescent="0.2"/>
    <row r="78" ht="22" customHeight="1" x14ac:dyDescent="0.2"/>
    <row r="79" ht="22" customHeight="1" x14ac:dyDescent="0.2"/>
  </sheetData>
  <mergeCells count="13">
    <mergeCell ref="B1:G1"/>
    <mergeCell ref="F6:G6"/>
    <mergeCell ref="B20"/>
    <mergeCell ref="B4:C4"/>
    <mergeCell ref="F7:G7"/>
    <mergeCell ref="B2:G2"/>
    <mergeCell ref="B6:C6"/>
    <mergeCell ref="D6:E6"/>
    <mergeCell ref="B28:G28"/>
    <mergeCell ref="D7:E7"/>
    <mergeCell ref="B7:C7"/>
    <mergeCell ref="B22:G22"/>
    <mergeCell ref="B9:G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59"/>
  <sheetViews>
    <sheetView showGridLines="0" workbookViewId="0">
      <selection activeCell="C10" sqref="C10"/>
    </sheetView>
  </sheetViews>
  <sheetFormatPr baseColWidth="10" defaultColWidth="8.83203125" defaultRowHeight="15" x14ac:dyDescent="0.2"/>
  <cols>
    <col min="1" max="1" width="3" customWidth="1"/>
    <col min="2" max="2" width="30" customWidth="1"/>
    <col min="3" max="4" width="18" customWidth="1"/>
    <col min="5" max="5" width="22" customWidth="1"/>
    <col min="6" max="6" width="3" customWidth="1"/>
  </cols>
  <sheetData>
    <row r="1" spans="2:5" ht="36" customHeight="1" x14ac:dyDescent="0.2">
      <c r="B1" s="45" t="s">
        <v>46</v>
      </c>
      <c r="C1" s="47"/>
      <c r="D1" s="47"/>
      <c r="E1" s="47"/>
    </row>
    <row r="2" spans="2:5" ht="22" customHeight="1" x14ac:dyDescent="0.2">
      <c r="B2" s="61" t="s">
        <v>47</v>
      </c>
      <c r="C2" s="47"/>
      <c r="D2" s="47"/>
      <c r="E2" s="47"/>
    </row>
    <row r="3" spans="2:5" ht="8" customHeight="1" x14ac:dyDescent="0.2"/>
    <row r="4" spans="2:5" ht="22" customHeight="1" x14ac:dyDescent="0.2">
      <c r="B4" s="9" t="s">
        <v>48</v>
      </c>
      <c r="C4" s="9" t="s">
        <v>49</v>
      </c>
      <c r="D4" s="9" t="s">
        <v>50</v>
      </c>
      <c r="E4" s="9" t="s">
        <v>51</v>
      </c>
    </row>
    <row r="5" spans="2:5" ht="22" customHeight="1" x14ac:dyDescent="0.2">
      <c r="B5" s="10" t="s">
        <v>52</v>
      </c>
      <c r="C5" s="12">
        <v>5000</v>
      </c>
      <c r="D5" s="15" t="s">
        <v>53</v>
      </c>
      <c r="E5" s="15" t="s">
        <v>54</v>
      </c>
    </row>
    <row r="6" spans="2:5" ht="22" customHeight="1" x14ac:dyDescent="0.2">
      <c r="B6" s="16" t="s">
        <v>55</v>
      </c>
      <c r="C6" s="18">
        <v>800</v>
      </c>
      <c r="D6" s="21" t="s">
        <v>56</v>
      </c>
      <c r="E6" s="21" t="s">
        <v>57</v>
      </c>
    </row>
    <row r="7" spans="2:5" ht="22" customHeight="1" x14ac:dyDescent="0.2">
      <c r="B7" s="10" t="s">
        <v>58</v>
      </c>
      <c r="C7" s="12"/>
      <c r="D7" s="15"/>
      <c r="E7" s="15"/>
    </row>
    <row r="8" spans="2:5" ht="22" customHeight="1" x14ac:dyDescent="0.2">
      <c r="B8" s="16" t="s">
        <v>59</v>
      </c>
      <c r="C8" s="18"/>
      <c r="D8" s="21"/>
      <c r="E8" s="21"/>
    </row>
    <row r="9" spans="2:5" ht="22" customHeight="1" x14ac:dyDescent="0.2">
      <c r="B9" s="10" t="s">
        <v>60</v>
      </c>
      <c r="C9" s="12">
        <v>10000</v>
      </c>
      <c r="D9" s="15"/>
      <c r="E9" s="15"/>
    </row>
    <row r="10" spans="2:5" ht="22" customHeight="1" x14ac:dyDescent="0.2">
      <c r="B10" s="16" t="s">
        <v>61</v>
      </c>
      <c r="C10" s="18"/>
      <c r="D10" s="21"/>
      <c r="E10" s="21"/>
    </row>
    <row r="11" spans="2:5" ht="22" customHeight="1" x14ac:dyDescent="0.2">
      <c r="B11" s="10"/>
      <c r="C11" s="12"/>
      <c r="D11" s="15"/>
      <c r="E11" s="15"/>
    </row>
    <row r="12" spans="2:5" ht="22" customHeight="1" x14ac:dyDescent="0.2">
      <c r="B12" s="16"/>
      <c r="C12" s="18"/>
      <c r="D12" s="21"/>
      <c r="E12" s="21"/>
    </row>
    <row r="13" spans="2:5" ht="22" customHeight="1" x14ac:dyDescent="0.2">
      <c r="B13" s="10"/>
      <c r="C13" s="12"/>
      <c r="D13" s="15"/>
      <c r="E13" s="15"/>
    </row>
    <row r="14" spans="2:5" ht="22" customHeight="1" x14ac:dyDescent="0.2">
      <c r="B14" s="16"/>
      <c r="C14" s="18"/>
      <c r="D14" s="21"/>
      <c r="E14" s="21"/>
    </row>
    <row r="15" spans="2:5" ht="22" customHeight="1" x14ac:dyDescent="0.2">
      <c r="B15" s="10"/>
      <c r="C15" s="12"/>
      <c r="D15" s="15"/>
      <c r="E15" s="15"/>
    </row>
    <row r="16" spans="2:5" ht="22" customHeight="1" x14ac:dyDescent="0.2">
      <c r="B16" s="16"/>
      <c r="C16" s="18"/>
      <c r="D16" s="21"/>
      <c r="E16" s="21"/>
    </row>
    <row r="17" spans="2:5" ht="22" customHeight="1" x14ac:dyDescent="0.2">
      <c r="B17" s="10"/>
      <c r="C17" s="12"/>
      <c r="D17" s="15"/>
      <c r="E17" s="15"/>
    </row>
    <row r="18" spans="2:5" ht="22" customHeight="1" x14ac:dyDescent="0.2">
      <c r="B18" s="16"/>
      <c r="C18" s="18"/>
      <c r="D18" s="21"/>
      <c r="E18" s="21"/>
    </row>
    <row r="19" spans="2:5" ht="22" customHeight="1" x14ac:dyDescent="0.2">
      <c r="B19" s="10"/>
      <c r="C19" s="12"/>
      <c r="D19" s="15"/>
      <c r="E19" s="15"/>
    </row>
    <row r="20" spans="2:5" ht="22" customHeight="1" x14ac:dyDescent="0.2">
      <c r="B20" s="16"/>
      <c r="C20" s="18"/>
      <c r="D20" s="21"/>
      <c r="E20" s="21"/>
    </row>
    <row r="21" spans="2:5" ht="22" customHeight="1" x14ac:dyDescent="0.2">
      <c r="B21" s="10"/>
      <c r="C21" s="12"/>
      <c r="D21" s="15"/>
      <c r="E21" s="15"/>
    </row>
    <row r="22" spans="2:5" ht="22" customHeight="1" x14ac:dyDescent="0.2">
      <c r="B22" s="16"/>
      <c r="C22" s="18"/>
      <c r="D22" s="21"/>
      <c r="E22" s="21"/>
    </row>
    <row r="23" spans="2:5" ht="22" customHeight="1" x14ac:dyDescent="0.2">
      <c r="B23" s="10"/>
      <c r="C23" s="12"/>
      <c r="D23" s="15"/>
      <c r="E23" s="15"/>
    </row>
    <row r="24" spans="2:5" ht="22" customHeight="1" x14ac:dyDescent="0.2">
      <c r="B24" s="16"/>
      <c r="C24" s="18"/>
      <c r="D24" s="21"/>
      <c r="E24" s="21"/>
    </row>
    <row r="25" spans="2:5" ht="22" customHeight="1" x14ac:dyDescent="0.2"/>
    <row r="26" spans="2:5" ht="22" customHeight="1" x14ac:dyDescent="0.2"/>
    <row r="27" spans="2:5" ht="22" customHeight="1" x14ac:dyDescent="0.2"/>
    <row r="28" spans="2:5" ht="22" customHeight="1" x14ac:dyDescent="0.2"/>
    <row r="29" spans="2:5" ht="8" customHeight="1" x14ac:dyDescent="0.2"/>
    <row r="30" spans="2:5" ht="22" customHeight="1" x14ac:dyDescent="0.2">
      <c r="B30" s="26" t="s">
        <v>62</v>
      </c>
      <c r="C30" s="27">
        <f>SUM(C5:C28)</f>
        <v>15800</v>
      </c>
    </row>
    <row r="31" spans="2:5" ht="22" customHeight="1" x14ac:dyDescent="0.2"/>
    <row r="32" spans="2:5" ht="22" customHeight="1" x14ac:dyDescent="0.2"/>
    <row r="33" spans="2:4" ht="8" customHeight="1" x14ac:dyDescent="0.2"/>
    <row r="34" spans="2:4" ht="22" customHeight="1" x14ac:dyDescent="0.2">
      <c r="B34" s="60" t="s">
        <v>63</v>
      </c>
    </row>
    <row r="35" spans="2:4" ht="22" customHeight="1" x14ac:dyDescent="0.2">
      <c r="B35" s="47"/>
      <c r="C35" s="24">
        <v>0</v>
      </c>
      <c r="D35" s="28" t="s">
        <v>64</v>
      </c>
    </row>
    <row r="36" spans="2:4" ht="22" customHeight="1" x14ac:dyDescent="0.2"/>
    <row r="37" spans="2:4" ht="22" customHeight="1" x14ac:dyDescent="0.2"/>
    <row r="38" spans="2:4" ht="22" customHeight="1" x14ac:dyDescent="0.2"/>
    <row r="39" spans="2:4" ht="22" customHeight="1" x14ac:dyDescent="0.2"/>
    <row r="40" spans="2:4" ht="22" customHeight="1" x14ac:dyDescent="0.2"/>
    <row r="41" spans="2:4" ht="22" customHeight="1" x14ac:dyDescent="0.2"/>
    <row r="42" spans="2:4" ht="22" customHeight="1" x14ac:dyDescent="0.2"/>
    <row r="43" spans="2:4" ht="22" customHeight="1" x14ac:dyDescent="0.2"/>
    <row r="44" spans="2:4" ht="22" customHeight="1" x14ac:dyDescent="0.2"/>
    <row r="45" spans="2:4" ht="22" customHeight="1" x14ac:dyDescent="0.2"/>
    <row r="46" spans="2:4" ht="22" customHeight="1" x14ac:dyDescent="0.2"/>
    <row r="47" spans="2:4" ht="22" customHeight="1" x14ac:dyDescent="0.2"/>
    <row r="48" spans="2:4" ht="22" customHeight="1" x14ac:dyDescent="0.2"/>
    <row r="49" ht="22" customHeight="1" x14ac:dyDescent="0.2"/>
    <row r="50" ht="22" customHeight="1" x14ac:dyDescent="0.2"/>
    <row r="51" ht="22" customHeight="1" x14ac:dyDescent="0.2"/>
    <row r="52" ht="22" customHeight="1" x14ac:dyDescent="0.2"/>
    <row r="53" ht="22" customHeight="1" x14ac:dyDescent="0.2"/>
    <row r="54" ht="22" customHeight="1" x14ac:dyDescent="0.2"/>
    <row r="55" ht="22" customHeight="1" x14ac:dyDescent="0.2"/>
    <row r="56" ht="22" customHeight="1" x14ac:dyDescent="0.2"/>
    <row r="57" ht="22" customHeight="1" x14ac:dyDescent="0.2"/>
    <row r="58" ht="22" customHeight="1" x14ac:dyDescent="0.2"/>
    <row r="59" ht="22" customHeight="1" x14ac:dyDescent="0.2"/>
  </sheetData>
  <mergeCells count="3">
    <mergeCell ref="B34:B35"/>
    <mergeCell ref="B1:E1"/>
    <mergeCell ref="B2: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E59"/>
  <sheetViews>
    <sheetView showGridLines="0" topLeftCell="A26" workbookViewId="0">
      <selection activeCell="C44" sqref="C44"/>
    </sheetView>
  </sheetViews>
  <sheetFormatPr baseColWidth="10" defaultColWidth="8.83203125" defaultRowHeight="15" x14ac:dyDescent="0.2"/>
  <cols>
    <col min="1" max="1" width="3" customWidth="1"/>
    <col min="2" max="2" width="28" customWidth="1"/>
    <col min="3" max="3" width="16" customWidth="1"/>
    <col min="4" max="4" width="14" customWidth="1"/>
    <col min="5" max="5" width="20" customWidth="1"/>
    <col min="6" max="6" width="3" customWidth="1"/>
  </cols>
  <sheetData>
    <row r="1" spans="2:5" ht="36" customHeight="1" x14ac:dyDescent="0.2">
      <c r="B1" s="62" t="s">
        <v>65</v>
      </c>
      <c r="C1" s="47"/>
      <c r="D1" s="47"/>
      <c r="E1" s="47"/>
    </row>
    <row r="2" spans="2:5" ht="22" customHeight="1" x14ac:dyDescent="0.2">
      <c r="B2" s="63" t="s">
        <v>66</v>
      </c>
      <c r="C2" s="47"/>
      <c r="D2" s="47"/>
      <c r="E2" s="47"/>
    </row>
    <row r="3" spans="2:5" ht="22" customHeight="1" x14ac:dyDescent="0.2"/>
    <row r="4" spans="2:5" ht="22" customHeight="1" x14ac:dyDescent="0.2"/>
    <row r="5" spans="2:5" ht="22" customHeight="1" x14ac:dyDescent="0.2"/>
    <row r="6" spans="2:5" ht="24" customHeight="1" x14ac:dyDescent="0.2">
      <c r="B6" s="29" t="s">
        <v>67</v>
      </c>
      <c r="C6" s="30" t="s">
        <v>49</v>
      </c>
      <c r="D6" s="30" t="s">
        <v>50</v>
      </c>
      <c r="E6" s="30" t="s">
        <v>51</v>
      </c>
    </row>
    <row r="7" spans="2:5" ht="22" customHeight="1" x14ac:dyDescent="0.2">
      <c r="B7" s="10" t="s">
        <v>68</v>
      </c>
      <c r="C7" s="11">
        <v>1000</v>
      </c>
      <c r="D7" s="15"/>
      <c r="E7" s="31"/>
    </row>
    <row r="8" spans="2:5" ht="22" customHeight="1" x14ac:dyDescent="0.2">
      <c r="B8" s="16" t="s">
        <v>69</v>
      </c>
      <c r="C8" s="17">
        <v>400</v>
      </c>
      <c r="D8" s="21"/>
      <c r="E8" s="32"/>
    </row>
    <row r="9" spans="2:5" ht="22" customHeight="1" x14ac:dyDescent="0.2">
      <c r="B9" s="10" t="s">
        <v>70</v>
      </c>
      <c r="C9" s="11">
        <v>80</v>
      </c>
      <c r="D9" s="15"/>
      <c r="E9" s="31"/>
    </row>
    <row r="10" spans="2:5" ht="22" customHeight="1" x14ac:dyDescent="0.2">
      <c r="B10" s="16" t="s">
        <v>71</v>
      </c>
      <c r="C10" s="17">
        <v>100</v>
      </c>
      <c r="D10" s="21"/>
      <c r="E10" s="32"/>
    </row>
    <row r="11" spans="2:5" ht="22" customHeight="1" x14ac:dyDescent="0.2">
      <c r="B11" s="10" t="s">
        <v>72</v>
      </c>
      <c r="C11" s="11"/>
      <c r="D11" s="15"/>
      <c r="E11" s="31"/>
    </row>
    <row r="12" spans="2:5" ht="24" customHeight="1" x14ac:dyDescent="0.2">
      <c r="B12" s="29" t="s">
        <v>73</v>
      </c>
      <c r="C12" s="33" t="s">
        <v>49</v>
      </c>
      <c r="D12" s="30" t="s">
        <v>50</v>
      </c>
      <c r="E12" s="30" t="s">
        <v>51</v>
      </c>
    </row>
    <row r="13" spans="2:5" ht="22" customHeight="1" x14ac:dyDescent="0.2">
      <c r="B13" s="10" t="s">
        <v>74</v>
      </c>
      <c r="C13" s="11"/>
      <c r="D13" s="15"/>
      <c r="E13" s="31"/>
    </row>
    <row r="14" spans="2:5" ht="22" customHeight="1" x14ac:dyDescent="0.2">
      <c r="B14" s="16" t="s">
        <v>75</v>
      </c>
      <c r="C14" s="17"/>
      <c r="D14" s="21"/>
      <c r="E14" s="32"/>
    </row>
    <row r="15" spans="2:5" ht="22" customHeight="1" x14ac:dyDescent="0.2">
      <c r="B15" s="10" t="s">
        <v>76</v>
      </c>
      <c r="C15" s="11"/>
      <c r="D15" s="15"/>
      <c r="E15" s="31"/>
    </row>
    <row r="16" spans="2:5" ht="22" customHeight="1" x14ac:dyDescent="0.2">
      <c r="B16" s="16" t="s">
        <v>77</v>
      </c>
      <c r="C16" s="17"/>
      <c r="D16" s="21"/>
      <c r="E16" s="32"/>
    </row>
    <row r="17" spans="2:5" ht="22" customHeight="1" x14ac:dyDescent="0.2">
      <c r="B17" s="10" t="s">
        <v>78</v>
      </c>
      <c r="C17" s="11"/>
      <c r="D17" s="15"/>
      <c r="E17" s="31"/>
    </row>
    <row r="18" spans="2:5" ht="24" customHeight="1" x14ac:dyDescent="0.2">
      <c r="B18" s="29" t="s">
        <v>79</v>
      </c>
      <c r="C18" s="33" t="s">
        <v>49</v>
      </c>
      <c r="D18" s="30" t="s">
        <v>50</v>
      </c>
      <c r="E18" s="30" t="s">
        <v>51</v>
      </c>
    </row>
    <row r="19" spans="2:5" ht="22" customHeight="1" x14ac:dyDescent="0.2">
      <c r="B19" s="10" t="s">
        <v>80</v>
      </c>
      <c r="C19" s="11"/>
      <c r="D19" s="15"/>
      <c r="E19" s="31"/>
    </row>
    <row r="20" spans="2:5" ht="22" customHeight="1" x14ac:dyDescent="0.2">
      <c r="B20" s="16" t="s">
        <v>81</v>
      </c>
      <c r="C20" s="17"/>
      <c r="D20" s="21"/>
      <c r="E20" s="32"/>
    </row>
    <row r="21" spans="2:5" ht="22" customHeight="1" x14ac:dyDescent="0.2">
      <c r="B21" s="10" t="s">
        <v>82</v>
      </c>
      <c r="C21" s="11"/>
      <c r="D21" s="15"/>
      <c r="E21" s="31"/>
    </row>
    <row r="22" spans="2:5" ht="22" customHeight="1" x14ac:dyDescent="0.2">
      <c r="B22" s="16" t="s">
        <v>83</v>
      </c>
      <c r="C22" s="17"/>
      <c r="D22" s="21"/>
      <c r="E22" s="32"/>
    </row>
    <row r="23" spans="2:5" ht="22" customHeight="1" x14ac:dyDescent="0.2">
      <c r="B23" s="10" t="s">
        <v>84</v>
      </c>
      <c r="C23" s="11"/>
      <c r="D23" s="15"/>
      <c r="E23" s="31"/>
    </row>
    <row r="24" spans="2:5" ht="24" customHeight="1" x14ac:dyDescent="0.2">
      <c r="B24" s="29" t="s">
        <v>85</v>
      </c>
      <c r="C24" s="33" t="s">
        <v>49</v>
      </c>
      <c r="D24" s="30" t="s">
        <v>50</v>
      </c>
      <c r="E24" s="30" t="s">
        <v>51</v>
      </c>
    </row>
    <row r="25" spans="2:5" ht="22" customHeight="1" x14ac:dyDescent="0.2">
      <c r="B25" s="10" t="s">
        <v>86</v>
      </c>
      <c r="C25" s="11"/>
      <c r="D25" s="15"/>
      <c r="E25" s="31"/>
    </row>
    <row r="26" spans="2:5" ht="22" customHeight="1" x14ac:dyDescent="0.2">
      <c r="B26" s="16" t="s">
        <v>87</v>
      </c>
      <c r="C26" s="17"/>
      <c r="D26" s="21"/>
      <c r="E26" s="32"/>
    </row>
    <row r="27" spans="2:5" ht="22" customHeight="1" x14ac:dyDescent="0.2">
      <c r="B27" s="10" t="s">
        <v>88</v>
      </c>
      <c r="C27" s="11"/>
      <c r="D27" s="15"/>
      <c r="E27" s="31"/>
    </row>
    <row r="28" spans="2:5" ht="22" customHeight="1" x14ac:dyDescent="0.2">
      <c r="B28" s="16" t="s">
        <v>89</v>
      </c>
      <c r="C28" s="17"/>
      <c r="D28" s="21"/>
      <c r="E28" s="32"/>
    </row>
    <row r="29" spans="2:5" ht="22" customHeight="1" x14ac:dyDescent="0.2">
      <c r="B29" s="10" t="s">
        <v>90</v>
      </c>
      <c r="C29" s="11"/>
      <c r="D29" s="15"/>
      <c r="E29" s="31"/>
    </row>
    <row r="30" spans="2:5" ht="24" customHeight="1" x14ac:dyDescent="0.2">
      <c r="B30" s="29" t="s">
        <v>91</v>
      </c>
      <c r="C30" s="33" t="s">
        <v>49</v>
      </c>
      <c r="D30" s="30" t="s">
        <v>50</v>
      </c>
      <c r="E30" s="30" t="s">
        <v>51</v>
      </c>
    </row>
    <row r="31" spans="2:5" ht="22" customHeight="1" x14ac:dyDescent="0.2">
      <c r="B31" s="10" t="s">
        <v>92</v>
      </c>
      <c r="C31" s="11"/>
      <c r="D31" s="15"/>
      <c r="E31" s="31"/>
    </row>
    <row r="32" spans="2:5" ht="22" customHeight="1" x14ac:dyDescent="0.2">
      <c r="B32" s="16" t="s">
        <v>93</v>
      </c>
      <c r="C32" s="17"/>
      <c r="D32" s="21"/>
      <c r="E32" s="32"/>
    </row>
    <row r="33" spans="2:5" ht="22" customHeight="1" x14ac:dyDescent="0.2">
      <c r="B33" s="10" t="s">
        <v>94</v>
      </c>
      <c r="C33" s="11"/>
      <c r="D33" s="15"/>
      <c r="E33" s="31"/>
    </row>
    <row r="34" spans="2:5" ht="22" customHeight="1" x14ac:dyDescent="0.2">
      <c r="B34" s="16" t="s">
        <v>95</v>
      </c>
      <c r="C34" s="17"/>
      <c r="D34" s="21"/>
      <c r="E34" s="32"/>
    </row>
    <row r="35" spans="2:5" ht="22" customHeight="1" x14ac:dyDescent="0.2">
      <c r="B35" s="10" t="s">
        <v>96</v>
      </c>
      <c r="C35" s="11"/>
      <c r="D35" s="15"/>
      <c r="E35" s="31"/>
    </row>
    <row r="36" spans="2:5" ht="24" customHeight="1" x14ac:dyDescent="0.2">
      <c r="B36" s="29" t="s">
        <v>97</v>
      </c>
      <c r="C36" s="33" t="s">
        <v>49</v>
      </c>
      <c r="D36" s="30" t="s">
        <v>50</v>
      </c>
      <c r="E36" s="30" t="s">
        <v>51</v>
      </c>
    </row>
    <row r="37" spans="2:5" ht="22" customHeight="1" x14ac:dyDescent="0.2">
      <c r="B37" s="10" t="s">
        <v>98</v>
      </c>
      <c r="C37" s="11"/>
      <c r="D37" s="15"/>
      <c r="E37" s="31"/>
    </row>
    <row r="38" spans="2:5" ht="22" customHeight="1" x14ac:dyDescent="0.2">
      <c r="B38" s="16" t="s">
        <v>99</v>
      </c>
      <c r="C38" s="17"/>
      <c r="D38" s="21"/>
      <c r="E38" s="32"/>
    </row>
    <row r="39" spans="2:5" ht="22" customHeight="1" x14ac:dyDescent="0.2">
      <c r="B39" s="10" t="s">
        <v>100</v>
      </c>
      <c r="C39" s="11"/>
      <c r="D39" s="15"/>
      <c r="E39" s="31"/>
    </row>
    <row r="40" spans="2:5" ht="22" customHeight="1" x14ac:dyDescent="0.2">
      <c r="B40" s="16" t="s">
        <v>101</v>
      </c>
      <c r="C40" s="17"/>
      <c r="D40" s="21"/>
      <c r="E40" s="32"/>
    </row>
    <row r="41" spans="2:5" ht="22" customHeight="1" x14ac:dyDescent="0.2">
      <c r="B41" s="10" t="s">
        <v>102</v>
      </c>
      <c r="C41" s="11"/>
      <c r="D41" s="15"/>
      <c r="E41" s="31"/>
    </row>
    <row r="42" spans="2:5" ht="24" customHeight="1" x14ac:dyDescent="0.2">
      <c r="B42" s="29" t="s">
        <v>103</v>
      </c>
      <c r="C42" s="33" t="s">
        <v>49</v>
      </c>
      <c r="D42" s="30" t="s">
        <v>50</v>
      </c>
      <c r="E42" s="30" t="s">
        <v>51</v>
      </c>
    </row>
    <row r="43" spans="2:5" ht="22" customHeight="1" x14ac:dyDescent="0.2">
      <c r="B43" s="10" t="s">
        <v>104</v>
      </c>
      <c r="C43" s="11">
        <v>1000</v>
      </c>
      <c r="D43" s="15"/>
      <c r="E43" s="31"/>
    </row>
    <row r="44" spans="2:5" ht="22" customHeight="1" x14ac:dyDescent="0.2">
      <c r="B44" s="16" t="s">
        <v>105</v>
      </c>
      <c r="C44" s="17"/>
      <c r="D44" s="21"/>
      <c r="E44" s="32"/>
    </row>
    <row r="45" spans="2:5" ht="22" customHeight="1" x14ac:dyDescent="0.2">
      <c r="B45" s="10" t="s">
        <v>106</v>
      </c>
      <c r="C45" s="11"/>
      <c r="D45" s="15"/>
      <c r="E45" s="31"/>
    </row>
    <row r="46" spans="2:5" ht="22" customHeight="1" x14ac:dyDescent="0.2">
      <c r="B46" s="16" t="s">
        <v>107</v>
      </c>
      <c r="C46" s="17"/>
      <c r="D46" s="21"/>
      <c r="E46" s="32"/>
    </row>
    <row r="47" spans="2:5" ht="22" customHeight="1" x14ac:dyDescent="0.2">
      <c r="B47" s="10" t="s">
        <v>108</v>
      </c>
      <c r="C47" s="11"/>
      <c r="D47" s="15"/>
      <c r="E47" s="31"/>
    </row>
    <row r="48" spans="2:5" ht="24" customHeight="1" x14ac:dyDescent="0.2">
      <c r="B48" s="29" t="s">
        <v>109</v>
      </c>
      <c r="C48" s="33" t="s">
        <v>49</v>
      </c>
      <c r="D48" s="30" t="s">
        <v>50</v>
      </c>
      <c r="E48" s="30" t="s">
        <v>51</v>
      </c>
    </row>
    <row r="49" spans="2:5" ht="22" customHeight="1" x14ac:dyDescent="0.2">
      <c r="B49" s="10" t="s">
        <v>110</v>
      </c>
      <c r="C49" s="11"/>
      <c r="D49" s="15"/>
      <c r="E49" s="31"/>
    </row>
    <row r="50" spans="2:5" ht="22" customHeight="1" x14ac:dyDescent="0.2">
      <c r="B50" s="34" t="s">
        <v>111</v>
      </c>
      <c r="C50" s="35">
        <f>SUM(C7:C11)+SUM(C13:C17)+SUM(C19:C23)+SUM(C25:C29)+SUM(C31:C35)+SUM(C37:C41)+SUM(C43:C47)+SUM(C49,C51:C53)</f>
        <v>2580</v>
      </c>
      <c r="D50" s="21"/>
      <c r="E50" s="32"/>
    </row>
    <row r="51" spans="2:5" ht="22" customHeight="1" x14ac:dyDescent="0.2">
      <c r="B51" s="10" t="s">
        <v>112</v>
      </c>
      <c r="C51" s="11"/>
      <c r="D51" s="15"/>
      <c r="E51" s="31"/>
    </row>
    <row r="52" spans="2:5" ht="22" customHeight="1" x14ac:dyDescent="0.2">
      <c r="B52" s="16" t="s">
        <v>113</v>
      </c>
      <c r="C52" s="17"/>
      <c r="D52" s="21"/>
      <c r="E52" s="32"/>
    </row>
    <row r="53" spans="2:5" ht="22" customHeight="1" x14ac:dyDescent="0.2">
      <c r="B53" s="10" t="s">
        <v>114</v>
      </c>
      <c r="C53" s="11"/>
      <c r="D53" s="15"/>
      <c r="E53" s="31"/>
    </row>
    <row r="54" spans="2:5" ht="22" customHeight="1" x14ac:dyDescent="0.2">
      <c r="B54" s="36" t="s">
        <v>115</v>
      </c>
      <c r="C54" s="37">
        <f>SUM(C49,C51:C53)</f>
        <v>0</v>
      </c>
    </row>
    <row r="55" spans="2:5" ht="22" customHeight="1" x14ac:dyDescent="0.2"/>
    <row r="56" spans="2:5" ht="22" customHeight="1" x14ac:dyDescent="0.2"/>
    <row r="57" spans="2:5" ht="22" customHeight="1" x14ac:dyDescent="0.2"/>
    <row r="58" spans="2:5" ht="22" customHeight="1" x14ac:dyDescent="0.2"/>
    <row r="59" spans="2:5" ht="22" customHeight="1" x14ac:dyDescent="0.2"/>
  </sheetData>
  <mergeCells count="2">
    <mergeCell ref="B1:E1"/>
    <mergeCell ref="B2:E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H49"/>
  <sheetViews>
    <sheetView showGridLines="0" workbookViewId="0"/>
  </sheetViews>
  <sheetFormatPr baseColWidth="10" defaultColWidth="8.83203125" defaultRowHeight="15" x14ac:dyDescent="0.2"/>
  <cols>
    <col min="1" max="1" width="3" customWidth="1"/>
    <col min="2" max="2" width="25" customWidth="1"/>
    <col min="3" max="3" width="16" customWidth="1"/>
    <col min="4" max="6" width="14" customWidth="1"/>
    <col min="7" max="7" width="16" customWidth="1"/>
    <col min="8" max="8" width="3" customWidth="1"/>
  </cols>
  <sheetData>
    <row r="1" spans="2:8" ht="36" customHeight="1" x14ac:dyDescent="0.2">
      <c r="B1" s="66" t="s">
        <v>116</v>
      </c>
      <c r="C1" s="47"/>
      <c r="D1" s="47"/>
      <c r="E1" s="47"/>
      <c r="F1" s="47"/>
      <c r="G1" s="47"/>
    </row>
    <row r="2" spans="2:8" ht="22" customHeight="1" x14ac:dyDescent="0.2">
      <c r="B2" s="63" t="s">
        <v>117</v>
      </c>
      <c r="C2" s="47"/>
      <c r="D2" s="47"/>
      <c r="E2" s="47"/>
      <c r="F2" s="47"/>
      <c r="G2" s="47"/>
    </row>
    <row r="3" spans="2:8" ht="8" customHeight="1" x14ac:dyDescent="0.2"/>
    <row r="4" spans="2:8" ht="22" customHeight="1" x14ac:dyDescent="0.2">
      <c r="B4" s="30" t="s">
        <v>118</v>
      </c>
      <c r="C4" s="30" t="s">
        <v>119</v>
      </c>
      <c r="D4" s="30" t="s">
        <v>120</v>
      </c>
      <c r="E4" s="30" t="s">
        <v>121</v>
      </c>
      <c r="F4" s="30" t="s">
        <v>122</v>
      </c>
      <c r="G4" s="30" t="s">
        <v>123</v>
      </c>
      <c r="H4" s="30" t="s">
        <v>124</v>
      </c>
    </row>
    <row r="5" spans="2:8" ht="22" customHeight="1" x14ac:dyDescent="0.2">
      <c r="B5" s="15" t="s">
        <v>125</v>
      </c>
      <c r="C5" s="12">
        <v>3200</v>
      </c>
      <c r="D5" s="12">
        <v>320</v>
      </c>
      <c r="E5" s="38">
        <v>12.5</v>
      </c>
      <c r="F5" s="15">
        <v>10</v>
      </c>
      <c r="G5" s="15" t="s">
        <v>126</v>
      </c>
      <c r="H5" s="15" t="s">
        <v>127</v>
      </c>
    </row>
    <row r="6" spans="2:8" ht="22" customHeight="1" x14ac:dyDescent="0.2">
      <c r="B6" s="21" t="s">
        <v>105</v>
      </c>
      <c r="C6" s="18">
        <v>8000</v>
      </c>
      <c r="D6" s="18">
        <v>500</v>
      </c>
      <c r="E6" s="39">
        <v>3.2</v>
      </c>
      <c r="F6" s="21">
        <v>16</v>
      </c>
      <c r="G6" s="21" t="s">
        <v>128</v>
      </c>
      <c r="H6" s="21" t="s">
        <v>129</v>
      </c>
    </row>
    <row r="7" spans="2:8" ht="22" customHeight="1" x14ac:dyDescent="0.2">
      <c r="B7" s="15" t="s">
        <v>130</v>
      </c>
      <c r="C7" s="12">
        <v>25000</v>
      </c>
      <c r="D7" s="12">
        <v>850</v>
      </c>
      <c r="E7" s="38">
        <v>1.4</v>
      </c>
      <c r="F7" s="15">
        <v>30</v>
      </c>
      <c r="G7" s="15" t="s">
        <v>131</v>
      </c>
      <c r="H7" s="15" t="s">
        <v>132</v>
      </c>
    </row>
    <row r="8" spans="2:8" ht="22" customHeight="1" x14ac:dyDescent="0.2">
      <c r="B8" s="21"/>
      <c r="C8" s="18"/>
      <c r="D8" s="18"/>
      <c r="E8" s="39"/>
      <c r="F8" s="21"/>
      <c r="G8" s="21"/>
      <c r="H8" s="21"/>
    </row>
    <row r="9" spans="2:8" ht="22" customHeight="1" x14ac:dyDescent="0.2">
      <c r="B9" s="15"/>
      <c r="C9" s="12"/>
      <c r="D9" s="12"/>
      <c r="E9" s="38"/>
      <c r="F9" s="15"/>
      <c r="G9" s="15"/>
      <c r="H9" s="15"/>
    </row>
    <row r="10" spans="2:8" ht="22" customHeight="1" x14ac:dyDescent="0.2">
      <c r="B10" s="21"/>
      <c r="C10" s="18"/>
      <c r="D10" s="18"/>
      <c r="E10" s="39"/>
      <c r="F10" s="21"/>
      <c r="G10" s="21"/>
      <c r="H10" s="21"/>
    </row>
    <row r="11" spans="2:8" ht="22" customHeight="1" x14ac:dyDescent="0.2">
      <c r="B11" s="15"/>
      <c r="C11" s="12"/>
      <c r="D11" s="12"/>
      <c r="E11" s="38"/>
      <c r="F11" s="15"/>
      <c r="G11" s="15"/>
      <c r="H11" s="15"/>
    </row>
    <row r="12" spans="2:8" ht="22" customHeight="1" x14ac:dyDescent="0.2">
      <c r="B12" s="21"/>
      <c r="C12" s="18"/>
      <c r="D12" s="18"/>
      <c r="E12" s="39"/>
      <c r="F12" s="21"/>
      <c r="G12" s="21"/>
      <c r="H12" s="21"/>
    </row>
    <row r="13" spans="2:8" ht="8" customHeight="1" x14ac:dyDescent="0.2"/>
    <row r="14" spans="2:8" ht="22" customHeight="1" x14ac:dyDescent="0.2">
      <c r="B14" s="34" t="s">
        <v>133</v>
      </c>
      <c r="C14" s="35">
        <f>SUM(C5:C12)</f>
        <v>36200</v>
      </c>
    </row>
    <row r="15" spans="2:8" ht="8" customHeight="1" x14ac:dyDescent="0.2"/>
    <row r="16" spans="2:8" ht="22" customHeight="1" x14ac:dyDescent="0.2">
      <c r="B16" s="64" t="s">
        <v>134</v>
      </c>
      <c r="C16" s="47"/>
      <c r="D16" s="47"/>
      <c r="E16" s="47"/>
      <c r="F16" s="47"/>
      <c r="G16" s="47"/>
    </row>
    <row r="17" spans="2:7" ht="22" customHeight="1" x14ac:dyDescent="0.2">
      <c r="B17" s="65" t="s">
        <v>135</v>
      </c>
      <c r="C17" s="47"/>
      <c r="D17" s="47"/>
      <c r="E17" s="47"/>
      <c r="F17" s="47"/>
      <c r="G17" s="47"/>
    </row>
    <row r="18" spans="2:7" ht="22" customHeight="1" x14ac:dyDescent="0.2"/>
    <row r="19" spans="2:7" ht="22" customHeight="1" x14ac:dyDescent="0.2"/>
    <row r="20" spans="2:7" ht="22" customHeight="1" x14ac:dyDescent="0.2"/>
    <row r="21" spans="2:7" ht="22" customHeight="1" x14ac:dyDescent="0.2"/>
    <row r="22" spans="2:7" ht="22" customHeight="1" x14ac:dyDescent="0.2"/>
    <row r="23" spans="2:7" ht="22" customHeight="1" x14ac:dyDescent="0.2"/>
    <row r="24" spans="2:7" ht="22" customHeight="1" x14ac:dyDescent="0.2"/>
    <row r="25" spans="2:7" ht="22" customHeight="1" x14ac:dyDescent="0.2"/>
    <row r="26" spans="2:7" ht="22" customHeight="1" x14ac:dyDescent="0.2"/>
    <row r="27" spans="2:7" ht="22" customHeight="1" x14ac:dyDescent="0.2"/>
    <row r="28" spans="2:7" ht="22" customHeight="1" x14ac:dyDescent="0.2"/>
    <row r="29" spans="2:7" ht="22" customHeight="1" x14ac:dyDescent="0.2"/>
    <row r="30" spans="2:7" ht="22" customHeight="1" x14ac:dyDescent="0.2"/>
    <row r="31" spans="2:7" ht="22" customHeight="1" x14ac:dyDescent="0.2"/>
    <row r="32" spans="2:7" ht="22" customHeight="1" x14ac:dyDescent="0.2"/>
    <row r="33" ht="22" customHeight="1" x14ac:dyDescent="0.2"/>
    <row r="34" ht="22" customHeight="1" x14ac:dyDescent="0.2"/>
    <row r="35" ht="22" customHeight="1" x14ac:dyDescent="0.2"/>
    <row r="36" ht="22" customHeight="1" x14ac:dyDescent="0.2"/>
    <row r="37" ht="22" customHeight="1" x14ac:dyDescent="0.2"/>
    <row r="38" ht="22" customHeight="1" x14ac:dyDescent="0.2"/>
    <row r="39" ht="22" customHeight="1" x14ac:dyDescent="0.2"/>
    <row r="40" ht="22" customHeight="1" x14ac:dyDescent="0.2"/>
    <row r="41" ht="22" customHeight="1" x14ac:dyDescent="0.2"/>
    <row r="42" ht="22" customHeight="1" x14ac:dyDescent="0.2"/>
    <row r="43" ht="22" customHeight="1" x14ac:dyDescent="0.2"/>
    <row r="44" ht="22" customHeight="1" x14ac:dyDescent="0.2"/>
    <row r="45" ht="22" customHeight="1" x14ac:dyDescent="0.2"/>
    <row r="46" ht="22" customHeight="1" x14ac:dyDescent="0.2"/>
    <row r="47" ht="22" customHeight="1" x14ac:dyDescent="0.2"/>
    <row r="48" ht="22" customHeight="1" x14ac:dyDescent="0.2"/>
    <row r="49" ht="22" customHeight="1" x14ac:dyDescent="0.2"/>
  </sheetData>
  <mergeCells count="4">
    <mergeCell ref="B2:G2"/>
    <mergeCell ref="B16:G16"/>
    <mergeCell ref="B17:G17"/>
    <mergeCell ref="B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G39"/>
  <sheetViews>
    <sheetView showGridLines="0" workbookViewId="0"/>
  </sheetViews>
  <sheetFormatPr baseColWidth="10" defaultColWidth="8.83203125" defaultRowHeight="15" x14ac:dyDescent="0.2"/>
  <cols>
    <col min="1" max="1" width="3" customWidth="1"/>
    <col min="2" max="2" width="28" customWidth="1"/>
    <col min="3" max="5" width="16" customWidth="1"/>
    <col min="6" max="6" width="18" customWidth="1"/>
    <col min="7" max="7" width="3" customWidth="1"/>
  </cols>
  <sheetData>
    <row r="1" spans="2:7" ht="36" customHeight="1" x14ac:dyDescent="0.2">
      <c r="B1" s="68" t="s">
        <v>136</v>
      </c>
      <c r="C1" s="47"/>
      <c r="D1" s="47"/>
      <c r="E1" s="47"/>
      <c r="F1" s="47"/>
    </row>
    <row r="2" spans="2:7" ht="22" customHeight="1" x14ac:dyDescent="0.2">
      <c r="B2" s="67" t="s">
        <v>137</v>
      </c>
      <c r="C2" s="47"/>
      <c r="D2" s="47"/>
      <c r="E2" s="47"/>
      <c r="F2" s="47"/>
    </row>
    <row r="3" spans="2:7" ht="8" customHeight="1" x14ac:dyDescent="0.2"/>
    <row r="4" spans="2:7" ht="22" customHeight="1" x14ac:dyDescent="0.2">
      <c r="B4" s="40" t="s">
        <v>138</v>
      </c>
      <c r="C4" s="40" t="s">
        <v>139</v>
      </c>
      <c r="D4" s="40" t="s">
        <v>140</v>
      </c>
      <c r="E4" s="40" t="s">
        <v>141</v>
      </c>
      <c r="F4" s="40" t="s">
        <v>142</v>
      </c>
      <c r="G4" s="40" t="s">
        <v>143</v>
      </c>
    </row>
    <row r="5" spans="2:7" ht="22" customHeight="1" x14ac:dyDescent="0.2">
      <c r="B5" s="10" t="s">
        <v>144</v>
      </c>
      <c r="C5" s="11">
        <v>40000</v>
      </c>
      <c r="D5" s="12">
        <v>5000</v>
      </c>
      <c r="E5" s="12">
        <f t="shared" ref="E5:E12" si="0">IF(C5=0,"",C5-D5)</f>
        <v>35000</v>
      </c>
      <c r="F5" s="41">
        <v>12</v>
      </c>
      <c r="G5" s="42">
        <f t="shared" ref="G5:G12" si="1">IF(F5=0,"",E5/F5)</f>
        <v>2916.6666666666665</v>
      </c>
    </row>
    <row r="6" spans="2:7" ht="22" customHeight="1" x14ac:dyDescent="0.2">
      <c r="B6" s="16" t="s">
        <v>145</v>
      </c>
      <c r="C6" s="17">
        <v>80000</v>
      </c>
      <c r="D6" s="18">
        <v>10000</v>
      </c>
      <c r="E6" s="18">
        <f t="shared" si="0"/>
        <v>70000</v>
      </c>
      <c r="F6" s="43">
        <v>12</v>
      </c>
      <c r="G6" s="44">
        <f t="shared" si="1"/>
        <v>5833.333333333333</v>
      </c>
    </row>
    <row r="7" spans="2:7" ht="22" customHeight="1" x14ac:dyDescent="0.2">
      <c r="B7" s="10" t="s">
        <v>146</v>
      </c>
      <c r="C7" s="11">
        <v>8000</v>
      </c>
      <c r="D7" s="12">
        <v>1200</v>
      </c>
      <c r="E7" s="12">
        <f t="shared" si="0"/>
        <v>6800</v>
      </c>
      <c r="F7" s="41">
        <v>12</v>
      </c>
      <c r="G7" s="42">
        <f t="shared" si="1"/>
        <v>566.66666666666663</v>
      </c>
    </row>
    <row r="8" spans="2:7" ht="22" customHeight="1" x14ac:dyDescent="0.2">
      <c r="B8" s="16" t="s">
        <v>147</v>
      </c>
      <c r="C8" s="17">
        <v>12000</v>
      </c>
      <c r="D8" s="18">
        <v>2000</v>
      </c>
      <c r="E8" s="18">
        <f t="shared" si="0"/>
        <v>10000</v>
      </c>
      <c r="F8" s="43">
        <v>12</v>
      </c>
      <c r="G8" s="44">
        <f t="shared" si="1"/>
        <v>833.33333333333337</v>
      </c>
    </row>
    <row r="9" spans="2:7" ht="22" customHeight="1" x14ac:dyDescent="0.2">
      <c r="B9" s="10" t="s">
        <v>148</v>
      </c>
      <c r="C9" s="11">
        <v>30000</v>
      </c>
      <c r="D9" s="12">
        <v>8000</v>
      </c>
      <c r="E9" s="12">
        <f t="shared" si="0"/>
        <v>22000</v>
      </c>
      <c r="F9" s="41">
        <v>12</v>
      </c>
      <c r="G9" s="42">
        <f t="shared" si="1"/>
        <v>1833.3333333333333</v>
      </c>
    </row>
    <row r="10" spans="2:7" ht="22" customHeight="1" x14ac:dyDescent="0.2">
      <c r="B10" s="16"/>
      <c r="C10" s="17"/>
      <c r="D10" s="18"/>
      <c r="E10" s="18" t="str">
        <f t="shared" si="0"/>
        <v/>
      </c>
      <c r="F10" s="43"/>
      <c r="G10" s="44" t="str">
        <f t="shared" si="1"/>
        <v/>
      </c>
    </row>
    <row r="11" spans="2:7" ht="22" customHeight="1" x14ac:dyDescent="0.2">
      <c r="B11" s="10"/>
      <c r="C11" s="11"/>
      <c r="D11" s="12"/>
      <c r="E11" s="12" t="str">
        <f t="shared" si="0"/>
        <v/>
      </c>
      <c r="F11" s="41"/>
      <c r="G11" s="42" t="str">
        <f t="shared" si="1"/>
        <v/>
      </c>
    </row>
    <row r="12" spans="2:7" ht="22" customHeight="1" x14ac:dyDescent="0.2">
      <c r="B12" s="16"/>
      <c r="C12" s="17"/>
      <c r="D12" s="18"/>
      <c r="E12" s="18" t="str">
        <f t="shared" si="0"/>
        <v/>
      </c>
      <c r="F12" s="43"/>
      <c r="G12" s="44" t="str">
        <f t="shared" si="1"/>
        <v/>
      </c>
    </row>
    <row r="13" spans="2:7" ht="22" customHeight="1" x14ac:dyDescent="0.2"/>
    <row r="14" spans="2:7" ht="22" customHeight="1" x14ac:dyDescent="0.2"/>
    <row r="15" spans="2:7" ht="22" customHeight="1" x14ac:dyDescent="0.2"/>
    <row r="16" spans="2:7" ht="22" customHeight="1" x14ac:dyDescent="0.2"/>
    <row r="17" ht="22" customHeight="1" x14ac:dyDescent="0.2"/>
    <row r="18" ht="22" customHeight="1" x14ac:dyDescent="0.2"/>
    <row r="19" ht="22" customHeight="1" x14ac:dyDescent="0.2"/>
    <row r="20" ht="22" customHeight="1" x14ac:dyDescent="0.2"/>
    <row r="21" ht="22" customHeight="1" x14ac:dyDescent="0.2"/>
    <row r="22" ht="22" customHeight="1" x14ac:dyDescent="0.2"/>
    <row r="23" ht="22" customHeight="1" x14ac:dyDescent="0.2"/>
    <row r="24" ht="22" customHeight="1" x14ac:dyDescent="0.2"/>
    <row r="25" ht="22" customHeight="1" x14ac:dyDescent="0.2"/>
    <row r="26" ht="22" customHeight="1" x14ac:dyDescent="0.2"/>
    <row r="27" ht="22" customHeight="1" x14ac:dyDescent="0.2"/>
    <row r="28" ht="22" customHeight="1" x14ac:dyDescent="0.2"/>
    <row r="29" ht="22" customHeight="1" x14ac:dyDescent="0.2"/>
    <row r="30" ht="22" customHeight="1" x14ac:dyDescent="0.2"/>
    <row r="31" ht="22" customHeight="1" x14ac:dyDescent="0.2"/>
    <row r="32" ht="22" customHeight="1" x14ac:dyDescent="0.2"/>
    <row r="33" ht="22" customHeight="1" x14ac:dyDescent="0.2"/>
    <row r="34" ht="22" customHeight="1" x14ac:dyDescent="0.2"/>
    <row r="35" ht="22" customHeight="1" x14ac:dyDescent="0.2"/>
    <row r="36" ht="22" customHeight="1" x14ac:dyDescent="0.2"/>
    <row r="37" ht="22" customHeight="1" x14ac:dyDescent="0.2"/>
    <row r="38" ht="22" customHeight="1" x14ac:dyDescent="0.2"/>
    <row r="39" ht="22" customHeight="1" x14ac:dyDescent="0.2"/>
  </sheetData>
  <mergeCells count="2">
    <mergeCell ref="B2:F2"/>
    <mergeCell ref="B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📖 Como usar</vt:lpstr>
      <vt:lpstr>📊 Painel</vt:lpstr>
      <vt:lpstr>📥 Receitas</vt:lpstr>
      <vt:lpstr>📤 Despesas</vt:lpstr>
      <vt:lpstr>🔴 Dívidas</vt:lpstr>
      <vt:lpstr>🌟 Metas e Sonhos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Adriano Santos</cp:lastModifiedBy>
  <dcterms:created xsi:type="dcterms:W3CDTF">2026-06-19T17:28:01Z</dcterms:created>
  <dcterms:modified xsi:type="dcterms:W3CDTF">2026-06-24T15:02:15Z</dcterms:modified>
</cp:coreProperties>
</file>